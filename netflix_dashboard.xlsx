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c851dcc9f61093e/Desktop/"/>
    </mc:Choice>
  </mc:AlternateContent>
  <xr:revisionPtr revIDLastSave="862" documentId="6_{B9DCB88A-3EF6-4AF7-84E2-E1338F7298B3}" xr6:coauthVersionLast="47" xr6:coauthVersionMax="47" xr10:uidLastSave="{31E7E5C4-ADA4-414B-97A5-181684AB38E1}"/>
  <bookViews>
    <workbookView xWindow="-108" yWindow="-108" windowWidth="23256" windowHeight="12456" activeTab="3" xr2:uid="{689CF8CA-AF23-48B7-BD9B-368C7F2E1121}"/>
  </bookViews>
  <sheets>
    <sheet name="Sheet1" sheetId="1" r:id="rId1"/>
    <sheet name="Sheet2" sheetId="2" r:id="rId2"/>
    <sheet name="Sheet6" sheetId="6" r:id="rId3"/>
    <sheet name="Sheet4" sheetId="7" r:id="rId4"/>
  </sheets>
  <definedNames>
    <definedName name="Slicer_age_group">#N/A</definedName>
    <definedName name="Slicer_City_Ti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2" i="2"/>
</calcChain>
</file>

<file path=xl/sharedStrings.xml><?xml version="1.0" encoding="utf-8"?>
<sst xmlns="http://schemas.openxmlformats.org/spreadsheetml/2006/main" count="12125" uniqueCount="681">
  <si>
    <t>Customer_ID</t>
  </si>
  <si>
    <t>Subscription_Date</t>
  </si>
  <si>
    <t>Year</t>
  </si>
  <si>
    <t>Month</t>
  </si>
  <si>
    <t>Region</t>
  </si>
  <si>
    <t>City_Tier</t>
  </si>
  <si>
    <t>Age</t>
  </si>
  <si>
    <t>Gender</t>
  </si>
  <si>
    <t>Subscription_Plan</t>
  </si>
  <si>
    <t>Monthly_ARPU_INR</t>
  </si>
  <si>
    <t>Preferred_Genre</t>
  </si>
  <si>
    <t>Avg_Watch_Hours_Per_Month</t>
  </si>
  <si>
    <t>Device_Type</t>
  </si>
  <si>
    <t>Payment_Method</t>
  </si>
  <si>
    <t>Tenure_Months</t>
  </si>
  <si>
    <t>Is_Churned</t>
  </si>
  <si>
    <t>Satisfaction_Score</t>
  </si>
  <si>
    <t>Monthly_Revenue_INR</t>
  </si>
  <si>
    <t>CUST0001</t>
  </si>
  <si>
    <t>Nov</t>
  </si>
  <si>
    <t>West</t>
  </si>
  <si>
    <t>Tier 3</t>
  </si>
  <si>
    <t>Male</t>
  </si>
  <si>
    <t>Standard</t>
  </si>
  <si>
    <t>Comedy</t>
  </si>
  <si>
    <t>Laptop</t>
  </si>
  <si>
    <t>UPI</t>
  </si>
  <si>
    <t>No</t>
  </si>
  <si>
    <t>CUST0002</t>
  </si>
  <si>
    <t>Tier 2</t>
  </si>
  <si>
    <t>Documentary</t>
  </si>
  <si>
    <t>Tablet</t>
  </si>
  <si>
    <t>Debit Card</t>
  </si>
  <si>
    <t>CUST0003</t>
  </si>
  <si>
    <t>Aug</t>
  </si>
  <si>
    <t>East</t>
  </si>
  <si>
    <t>Female</t>
  </si>
  <si>
    <t>Basic</t>
  </si>
  <si>
    <t>CUST0004</t>
  </si>
  <si>
    <t>Dec</t>
  </si>
  <si>
    <t>Crime</t>
  </si>
  <si>
    <t>Smart TV</t>
  </si>
  <si>
    <t>CUST0005</t>
  </si>
  <si>
    <t>North</t>
  </si>
  <si>
    <t>Anime</t>
  </si>
  <si>
    <t>Mobile</t>
  </si>
  <si>
    <t>CUST0006</t>
  </si>
  <si>
    <t>Oct</t>
  </si>
  <si>
    <t>Premium</t>
  </si>
  <si>
    <t>Drama</t>
  </si>
  <si>
    <t>CUST0007</t>
  </si>
  <si>
    <t>Apr</t>
  </si>
  <si>
    <t>South</t>
  </si>
  <si>
    <t>Thriller</t>
  </si>
  <si>
    <t>CUST0008</t>
  </si>
  <si>
    <t>Net Banking</t>
  </si>
  <si>
    <t>CUST0009</t>
  </si>
  <si>
    <t>Action</t>
  </si>
  <si>
    <t>Credit Card</t>
  </si>
  <si>
    <t>CUST0010</t>
  </si>
  <si>
    <t>Sep</t>
  </si>
  <si>
    <t>CUST0011</t>
  </si>
  <si>
    <t>Jan</t>
  </si>
  <si>
    <t>Tier 1</t>
  </si>
  <si>
    <t>CUST0012</t>
  </si>
  <si>
    <t>CUST0013</t>
  </si>
  <si>
    <t>Mar</t>
  </si>
  <si>
    <t>Sci-Fi</t>
  </si>
  <si>
    <t>CUST0014</t>
  </si>
  <si>
    <t>Jun</t>
  </si>
  <si>
    <t>CUST0015</t>
  </si>
  <si>
    <t>CUST0016</t>
  </si>
  <si>
    <t>CUST0017</t>
  </si>
  <si>
    <t>Yes</t>
  </si>
  <si>
    <t>CUST0018</t>
  </si>
  <si>
    <t>Romance</t>
  </si>
  <si>
    <t>CUST0019</t>
  </si>
  <si>
    <t>CUST0020</t>
  </si>
  <si>
    <t>CUST0021</t>
  </si>
  <si>
    <t>May</t>
  </si>
  <si>
    <t>CUST0022</t>
  </si>
  <si>
    <t>CUST0023</t>
  </si>
  <si>
    <t>CUST0024</t>
  </si>
  <si>
    <t>CUST0025</t>
  </si>
  <si>
    <t>CUST0026</t>
  </si>
  <si>
    <t>Jul</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</si>
  <si>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</si>
  <si>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</si>
  <si>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</si>
  <si>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</si>
  <si>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</si>
  <si>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</si>
  <si>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</si>
  <si>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</si>
  <si>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</si>
  <si>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</si>
  <si>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</si>
  <si>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</si>
  <si>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</si>
  <si>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</si>
  <si>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</si>
  <si>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</si>
  <si>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</si>
  <si>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</si>
  <si>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</si>
  <si>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</si>
  <si>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</si>
  <si>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</si>
  <si>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</si>
  <si>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</si>
  <si>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</si>
  <si>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Feb</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</si>
  <si>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</si>
  <si>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</si>
  <si>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</si>
  <si>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</si>
  <si>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</si>
  <si>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</si>
  <si>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</si>
  <si>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</si>
  <si>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</si>
  <si>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</si>
  <si>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</si>
  <si>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</si>
  <si>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</si>
  <si>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</si>
  <si>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</si>
  <si>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</si>
  <si>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</si>
  <si>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</si>
  <si>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</si>
  <si>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</si>
  <si>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</si>
  <si>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</si>
  <si>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</si>
  <si>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</si>
  <si>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</si>
  <si>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</si>
  <si>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</si>
  <si>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</si>
  <si>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</si>
  <si>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</si>
  <si>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</si>
  <si>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</si>
  <si>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</si>
  <si>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</si>
  <si>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</si>
  <si>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</si>
  <si>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</si>
  <si>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</si>
  <si>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</si>
  <si>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</si>
  <si>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</si>
  <si>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</si>
  <si>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</si>
  <si>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</si>
  <si>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</si>
  <si>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</si>
  <si>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</si>
  <si>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</si>
  <si>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</si>
  <si>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</si>
  <si>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</si>
  <si>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</si>
  <si>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</si>
  <si>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</si>
  <si>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</si>
  <si>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</si>
  <si>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</si>
  <si>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</si>
  <si>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</si>
  <si>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</si>
  <si>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</si>
  <si>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</si>
  <si>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</si>
  <si>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</si>
  <si>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</si>
  <si>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</si>
  <si>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</si>
  <si>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</si>
  <si>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</si>
  <si>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</si>
  <si>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</si>
  <si>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</si>
  <si>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</si>
  <si>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</si>
  <si>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</si>
  <si>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</si>
  <si>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</si>
  <si>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</si>
  <si>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</si>
  <si>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</si>
  <si>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</si>
  <si>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</si>
  <si>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</si>
  <si>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</si>
  <si>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</si>
  <si>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</si>
  <si>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</si>
  <si>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</si>
  <si>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</si>
  <si>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</si>
  <si>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</si>
  <si>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</si>
  <si>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</si>
  <si>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</si>
  <si>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</si>
  <si>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</si>
  <si>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</si>
  <si>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</si>
  <si>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</si>
  <si>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</si>
  <si>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</si>
  <si>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</si>
  <si>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</si>
  <si>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</si>
  <si>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</si>
  <si>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</si>
  <si>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</si>
  <si>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</si>
  <si>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</si>
  <si>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</si>
  <si>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</si>
  <si>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</si>
  <si>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</si>
  <si>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</si>
  <si>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</si>
  <si>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</si>
  <si>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</si>
  <si>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</si>
  <si>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</si>
  <si>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</si>
  <si>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</si>
  <si>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</si>
  <si>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</si>
  <si>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</si>
  <si>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</si>
  <si>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</si>
  <si>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</si>
  <si>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</si>
  <si>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</si>
  <si>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</si>
  <si>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</si>
  <si>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</si>
  <si>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</si>
  <si>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</si>
  <si>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</si>
  <si>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</si>
  <si>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</si>
  <si>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</si>
  <si>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</si>
  <si>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</si>
  <si>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</si>
  <si>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</si>
  <si>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</si>
  <si>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</si>
  <si>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</si>
  <si>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</si>
  <si>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</si>
  <si>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</si>
  <si>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</si>
  <si>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</si>
  <si>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</si>
  <si>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</si>
  <si>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</si>
  <si>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</si>
  <si>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</si>
  <si>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</si>
  <si>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</si>
  <si>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</si>
  <si>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</si>
  <si>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</si>
  <si>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</si>
  <si>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</si>
  <si>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</si>
  <si>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</si>
  <si>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</si>
  <si>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</si>
  <si>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</si>
  <si>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</si>
  <si>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</si>
  <si>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</si>
  <si>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</si>
  <si>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</si>
  <si>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</si>
  <si>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</si>
  <si>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</si>
  <si>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</si>
  <si>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</si>
  <si>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</si>
  <si>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</si>
  <si>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</si>
  <si>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</si>
  <si>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</si>
  <si>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</si>
  <si>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</si>
  <si>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</si>
  <si>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</si>
  <si>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</si>
  <si>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</si>
  <si>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</si>
  <si>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</si>
  <si>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</si>
  <si>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</si>
  <si>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</si>
  <si>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</si>
  <si>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</si>
  <si>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</si>
  <si>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</si>
  <si>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</si>
  <si>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</si>
  <si>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</si>
  <si>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</si>
  <si>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</si>
  <si>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</si>
  <si>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</si>
  <si>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</si>
  <si>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</si>
  <si>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</si>
  <si>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</si>
  <si>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</si>
  <si>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</si>
  <si>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</si>
  <si>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</si>
  <si>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</si>
  <si>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</si>
  <si>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</si>
  <si>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</si>
  <si>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</si>
  <si>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</si>
  <si>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</si>
  <si>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</si>
  <si>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</si>
  <si>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</si>
  <si>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</si>
  <si>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</si>
  <si>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</si>
  <si>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</si>
  <si>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</si>
  <si>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</si>
  <si>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</si>
  <si>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</si>
  <si>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</si>
  <si>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</si>
  <si>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</si>
  <si>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</si>
  <si>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</si>
  <si>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</si>
  <si>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</si>
  <si>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</si>
  <si>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</si>
  <si>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</si>
  <si>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</si>
  <si>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</si>
  <si>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</si>
  <si>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</si>
  <si>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</si>
  <si>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</si>
  <si>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</si>
  <si>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</si>
  <si>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</si>
  <si>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</si>
  <si>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</si>
  <si>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</si>
  <si>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</si>
  <si>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</si>
  <si>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</si>
  <si>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</si>
  <si>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</si>
  <si>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</si>
  <si>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</si>
  <si>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</si>
  <si>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</si>
  <si>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</si>
  <si>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</si>
  <si>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</si>
  <si>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</si>
  <si>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</si>
  <si>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</si>
  <si>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</si>
  <si>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</si>
  <si>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</si>
  <si>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</si>
  <si>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</si>
  <si>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</si>
  <si>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</si>
  <si>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</si>
  <si>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</si>
  <si>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</si>
  <si>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</si>
  <si>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</si>
  <si>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</si>
  <si>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</si>
  <si>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</si>
  <si>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</si>
  <si>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</si>
  <si>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</si>
  <si>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</si>
  <si>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</si>
  <si>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</si>
  <si>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</si>
  <si>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</si>
  <si>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</si>
  <si>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</si>
  <si>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</si>
  <si>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</si>
  <si>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</si>
  <si>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</si>
  <si>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</si>
  <si>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</si>
  <si>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</si>
  <si>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</si>
  <si>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</si>
  <si>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</si>
  <si>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</si>
  <si>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</si>
  <si>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</si>
  <si>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</si>
  <si>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</si>
  <si>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</si>
  <si>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</si>
  <si>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</si>
  <si>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</si>
  <si>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</si>
  <si>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</si>
  <si>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</si>
  <si>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</si>
  <si>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</si>
  <si>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</si>
  <si>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</si>
  <si>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</si>
  <si>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</si>
  <si>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</si>
  <si>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</si>
  <si>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</si>
  <si>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</si>
  <si>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</si>
  <si>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</si>
  <si>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</si>
  <si>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</si>
  <si>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</si>
  <si>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</si>
  <si>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</si>
  <si>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</si>
  <si>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</si>
  <si>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</si>
  <si>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</si>
  <si>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</si>
  <si>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</si>
  <si>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</si>
  <si>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</si>
  <si>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</si>
  <si>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</si>
  <si>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</si>
  <si>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</si>
  <si>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</si>
  <si>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</si>
  <si>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</si>
  <si>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</si>
  <si>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</si>
  <si>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</si>
  <si>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</si>
  <si>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</si>
  <si>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</si>
  <si>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</si>
  <si>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</si>
  <si>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</si>
  <si>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</si>
  <si>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</si>
  <si>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</si>
  <si>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</si>
  <si>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</si>
  <si>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</si>
  <si>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</si>
  <si>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</si>
  <si>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</si>
  <si>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</si>
  <si>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</si>
  <si>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</si>
  <si>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</si>
  <si>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</si>
  <si>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</si>
  <si>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</si>
  <si>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</si>
  <si>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</si>
  <si>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</si>
  <si>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</si>
  <si>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</si>
  <si>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</si>
  <si>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</si>
  <si>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</si>
  <si>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</si>
  <si>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</si>
  <si>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</si>
  <si>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</si>
  <si>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</si>
  <si>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</si>
  <si>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</si>
  <si>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</si>
  <si>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</si>
  <si>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</si>
  <si>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</si>
  <si>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</si>
  <si>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</si>
  <si>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</si>
  <si>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</si>
  <si>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</si>
  <si>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</si>
  <si>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</si>
  <si>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</si>
  <si>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</si>
  <si>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</si>
  <si>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</si>
  <si>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</si>
  <si>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</si>
  <si>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</si>
  <si>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</si>
  <si>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</si>
  <si>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</si>
  <si>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</si>
  <si>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</si>
  <si>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</si>
  <si>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</si>
  <si>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</si>
  <si>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</si>
  <si>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</si>
  <si>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</si>
  <si>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</si>
  <si>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</si>
  <si>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</si>
  <si>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</si>
  <si>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</si>
  <si>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</si>
  <si>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</si>
  <si>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</si>
  <si>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</si>
  <si>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</si>
  <si>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</si>
  <si>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</si>
  <si>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</si>
  <si>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</si>
  <si>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</si>
  <si>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</si>
  <si>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</si>
  <si>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</si>
  <si>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</si>
  <si>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</si>
  <si>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</si>
  <si>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</si>
  <si>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</si>
  <si>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</si>
  <si>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</si>
  <si>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</si>
  <si>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</si>
  <si>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</si>
  <si>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</si>
  <si>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</si>
  <si>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</si>
  <si>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</si>
  <si>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</si>
  <si>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</si>
  <si>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</si>
  <si>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</si>
  <si>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</si>
  <si>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</si>
  <si>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</si>
  <si>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</si>
  <si>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</si>
  <si>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</si>
  <si>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</si>
  <si>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</si>
  <si>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</si>
  <si>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</si>
  <si>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</si>
  <si>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</si>
  <si>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</si>
  <si>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</si>
  <si>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</si>
  <si>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</si>
  <si>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</si>
  <si>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</si>
  <si>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</si>
  <si>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</si>
  <si>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</si>
  <si>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</si>
  <si>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</si>
  <si>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</si>
  <si>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</si>
  <si>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</si>
  <si>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</si>
  <si>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</si>
  <si>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</si>
  <si>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</si>
  <si>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</si>
  <si>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</si>
  <si>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</si>
  <si>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</si>
  <si>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</si>
  <si>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</si>
  <si>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</si>
  <si>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</si>
  <si>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</si>
  <si>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</si>
  <si>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</si>
  <si>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</si>
  <si>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</si>
  <si>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</si>
  <si>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</si>
  <si>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</si>
  <si>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</si>
  <si>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</si>
  <si>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</si>
  <si>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</si>
  <si>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</si>
  <si>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</si>
  <si>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</si>
  <si>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</si>
  <si>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</si>
  <si>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</si>
  <si>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</si>
  <si>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</si>
  <si>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</si>
  <si>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</si>
  <si>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</si>
  <si>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</si>
  <si>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</si>
  <si>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</si>
  <si>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</si>
  <si>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</si>
  <si>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</si>
  <si>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</si>
  <si>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</si>
  <si>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</si>
  <si>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</si>
  <si>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</si>
  <si>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</si>
  <si>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</si>
  <si>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</si>
  <si>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</si>
  <si>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</si>
  <si>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</si>
  <si>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</si>
  <si>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</si>
  <si>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</si>
  <si>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</si>
  <si>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</si>
  <si>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</si>
  <si>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</si>
  <si>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</si>
  <si>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</si>
  <si>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</si>
  <si>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</si>
  <si>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</si>
  <si>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</si>
  <si>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</si>
  <si>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</si>
  <si>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</si>
  <si>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</si>
  <si>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</si>
  <si>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</si>
  <si>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</si>
  <si>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Row Labels</t>
  </si>
  <si>
    <t>Grand Total</t>
  </si>
  <si>
    <t>Column Labels</t>
  </si>
  <si>
    <t>Count of Customer_ID</t>
  </si>
  <si>
    <t>2022</t>
  </si>
  <si>
    <t>2023</t>
  </si>
  <si>
    <t>2024</t>
  </si>
  <si>
    <t>2025</t>
  </si>
  <si>
    <t>age group</t>
  </si>
  <si>
    <t>timespend</t>
  </si>
  <si>
    <t>Genz viewer</t>
  </si>
  <si>
    <t>Mature viewer</t>
  </si>
  <si>
    <t>mid career adult</t>
  </si>
  <si>
    <t>senior viewer</t>
  </si>
  <si>
    <t>Young Professionals</t>
  </si>
  <si>
    <t>Binge watcher</t>
  </si>
  <si>
    <t>Casual Viewer</t>
  </si>
  <si>
    <t>Engaged Viewer</t>
  </si>
  <si>
    <t>Regular Viewer</t>
  </si>
  <si>
    <t>Sum of Monthly_Revenue_INR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</si>
</sst>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C00000"/>
      </font>
      <fill>
        <patternFill>
          <bgColor theme="5" tint="0.59996337778862885"/>
        </patternFill>
      </fill>
    </dxf>
    <dxf>
      <font>
        <color rgb="FFC00000"/>
      </font>
      <fill>
        <patternFill>
          <bgColor theme="0"/>
        </patternFill>
      </fill>
    </dxf>
    <dxf>
      <font>
        <b val="0"/>
        <i val="0"/>
        <sz val="8"/>
        <color theme="1"/>
        <name val="Aptos Display"/>
        <family val="2"/>
        <scheme val="major"/>
      </font>
      <fill>
        <patternFill patternType="solid">
          <bgColor theme="0" tint="-4.9989318521683403E-2"/>
        </patternFill>
      </fill>
      <border>
        <left style="thin">
          <color auto="1"/>
        </left>
        <right style="thin">
          <color auto="1"/>
        </right>
        <top style="thin">
          <color auto="1"/>
        </top>
        <bottom style="thin">
          <color auto="1"/>
        </bottom>
      </border>
    </dxf>
  </dxfs>
  <tableStyles count="3" defaultTableStyle="TableStyleMedium2" defaultPivotStyle="PivotStyleLight16">
    <tableStyle name="Slicer Style 1" pivot="0" table="0" count="2" xr9:uid="{C761B383-123F-429B-894A-679632FA9590}">
      <tableStyleElement type="wholeTable" dxfId="7"/>
    </tableStyle>
    <tableStyle name="Slicer Style 2" pivot="0" table="0" count="1" xr9:uid="{F71B27FE-F1E9-443E-B7F7-0894E30917B7}">
      <tableStyleElement type="wholeTable" dxfId="6"/>
    </tableStyle>
    <tableStyle name="Slicer Style 3" pivot="0" table="0" count="1" xr9:uid="{54AA8C7F-8225-448E-B480-5DE588F252D4}">
      <tableStyleElement type="wholeTable" dxfId="5"/>
    </tableStyle>
  </tableStyles>
  <colors>
    <mruColors>
      <color rgb="FFFF8B8B"/>
      <color rgb="FFFF3B3B"/>
      <color rgb="FFE20000"/>
      <color rgb="FFFF0D0D"/>
      <color rgb="FFFF9999"/>
      <color rgb="FF990000"/>
      <color rgb="FFFF5050"/>
      <color rgb="FFFF0000"/>
    </mruColors>
  </colors>
  <extLst>
    <ext xmlns:x14="http://schemas.microsoft.com/office/spreadsheetml/2009/9/main" uri="{46F421CA-312F-682f-3DD2-61675219B42D}">
      <x14:dxfs count="1">
        <dxf>
          <fill>
            <patternFill>
              <bgColor theme="3"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[netflix_dashboard.xlsx]Sheet6!PivotTable1</c:name>
    <c:fmtId val="1"/>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subscription</a:t>
            </a:r>
            <a:r>
              <a:rPr lang="en-US" baseline="0"/>
              <a:t> plan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w="9525" cap="flat" cmpd="sng" algn="ctr">
            <a:solidFill>
              <a:schemeClr val="lt1">
                <a:alpha val="50000"/>
              </a:schemeClr>
            </a:solidFill>
            <a:round/>
          </a:ln>
          <a:effectLst/>
        </c:spPr>
      </c:pivotFmt>
      <c:pivotFmt>
        <c:idx val="3"/>
        <c:spPr>
          <a:solidFill>
            <a:srgbClr val="C00000"/>
          </a:solidFill>
          <a:ln w="9525" cap="flat" cmpd="sng" algn="ctr">
            <a:solidFill>
              <a:schemeClr val="lt1">
                <a:alpha val="50000"/>
              </a:schemeClr>
            </a:solidFill>
            <a:round/>
          </a:ln>
          <a:effectLst/>
        </c:spPr>
      </c:pivotFmt>
      <c:pivotFmt>
        <c:idx val="4"/>
        <c:spPr>
          <a:solidFill>
            <a:srgbClr val="C00000"/>
          </a:solidFill>
          <a:ln w="9525" cap="flat" cmpd="sng" algn="ctr">
            <a:solidFill>
              <a:schemeClr val="lt1">
                <a:alpha val="50000"/>
              </a:schemeClr>
            </a:solidFill>
            <a:round/>
          </a:ln>
          <a:effectLst/>
        </c:spPr>
      </c:pivotFmt>
    </c:pivotFmts>
    <c:plotArea>
      <c:layout>
        <c:manualLayout>
          <c:layoutTarget val="inner"/>
          <c:xMode val="edge"/>
          <c:yMode val="edge"/>
          <c:x val="0.14490683196801285"/>
          <c:y val="0.22174059147279387"/>
          <c:w val="0.82963586982518989"/>
          <c:h val="0.69272490991262248"/>
        </c:manualLayout>
      </c:layout>
      <c:barChart>
        <c:barDir val="bar"/>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rgbClr val="C00000"/>
              </a:solidFill>
              <a:ln w="9525" cap="flat" cmpd="sng" algn="ctr">
                <a:solidFill>
                  <a:schemeClr val="lt1">
                    <a:alpha val="50000"/>
                  </a:schemeClr>
                </a:solidFill>
                <a:round/>
              </a:ln>
              <a:effectLst/>
            </c:spPr>
            <c:extLst>
              <c:ext xmlns:c16="http://schemas.microsoft.com/office/drawing/2014/chart" uri="{C3380CC4-5D6E-409C-BE32-E72D297353CC}">
                <c16:uniqueId val="{00000003-34FC-4C7F-A4C8-FB7D07315C07}"/>
              </c:ext>
            </c:extLst>
          </c:dPt>
          <c:dPt>
            <c:idx val="1"/>
            <c:invertIfNegative val="0"/>
            <c:bubble3D val="0"/>
            <c:spPr>
              <a:solidFill>
                <a:srgbClr val="C00000"/>
              </a:solidFill>
              <a:ln w="9525" cap="flat" cmpd="sng" algn="ctr">
                <a:solidFill>
                  <a:schemeClr val="lt1">
                    <a:alpha val="50000"/>
                  </a:schemeClr>
                </a:solidFill>
                <a:round/>
              </a:ln>
              <a:effectLst/>
            </c:spPr>
            <c:extLst>
              <c:ext xmlns:c16="http://schemas.microsoft.com/office/drawing/2014/chart" uri="{C3380CC4-5D6E-409C-BE32-E72D297353CC}">
                <c16:uniqueId val="{00000002-34FC-4C7F-A4C8-FB7D07315C07}"/>
              </c:ext>
            </c:extLst>
          </c:dPt>
          <c:dPt>
            <c:idx val="2"/>
            <c:invertIfNegative val="0"/>
            <c:bubble3D val="0"/>
            <c:spPr>
              <a:solidFill>
                <a:srgbClr val="C00000"/>
              </a:solidFill>
              <a:ln w="9525" cap="flat" cmpd="sng" algn="ctr">
                <a:solidFill>
                  <a:schemeClr val="lt1">
                    <a:alpha val="50000"/>
                  </a:schemeClr>
                </a:solidFill>
                <a:round/>
              </a:ln>
              <a:effectLst/>
            </c:spPr>
            <c:extLst>
              <c:ext xmlns:c16="http://schemas.microsoft.com/office/drawing/2014/chart" uri="{C3380CC4-5D6E-409C-BE32-E72D297353CC}">
                <c16:uniqueId val="{00000001-34FC-4C7F-A4C8-FB7D07315C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Sheet6!$A$4:$A$7</c:f>
              <c:strCache>
                <c:ptCount val="3"/>
                <c:pt idx="0">
                  <c:v>Basic</c:v>
                </c:pt>
                <c:pt idx="1">
                  <c:v>Premium</c:v>
                </c:pt>
                <c:pt idx="2">
                  <c:v>Standard</c:v>
                </c:pt>
              </c:strCache>
            </c:strRef>
          </c:cat>
          <c:val>
            <c:numRef>
              <c:f>Sheet6!$B$4:$B$7</c:f>
              <c:numCache>
                <c:formatCode>General</c:formatCode>
                <c:ptCount val="3"/>
                <c:pt idx="0">
                  <c:v>87</c:v>
                </c:pt>
                <c:pt idx="1">
                  <c:v>47</c:v>
                </c:pt>
                <c:pt idx="2">
                  <c:v>76</c:v>
                </c:pt>
              </c:numCache>
            </c:numRef>
          </c:val>
          <c:extLst>
            <c:ext xmlns:c16="http://schemas.microsoft.com/office/drawing/2014/chart" uri="{C3380CC4-5D6E-409C-BE32-E72D297353CC}">
              <c16:uniqueId val="{00000000-34FC-4C7F-A4C8-FB7D07315C07}"/>
            </c:ext>
          </c:extLst>
        </c:ser>
        <c:dLbls>
          <c:dLblPos val="inEnd"/>
          <c:showLegendKey val="0"/>
          <c:showVal val="1"/>
          <c:showCatName val="0"/>
          <c:showSerName val="0"/>
          <c:showPercent val="0"/>
          <c:showBubbleSize val="0"/>
        </c:dLbls>
        <c:gapWidth val="65"/>
        <c:axId val="646978639"/>
        <c:axId val="646979599"/>
      </c:barChart>
      <c:catAx>
        <c:axId val="646978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646979599"/>
        <c:crosses val="autoZero"/>
        <c:auto val="1"/>
        <c:lblAlgn val="ctr"/>
        <c:lblOffset val="100"/>
        <c:noMultiLvlLbl val="0"/>
      </c:catAx>
      <c:valAx>
        <c:axId val="6469795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697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[netflix_dashboard.xlsx]Sheet6!PivotTable2</c:name>
    <c:fmtId val="1"/>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a:t>Preferred</a:t>
            </a:r>
            <a:r>
              <a:rPr lang="en-US" baseline="0"/>
              <a:t> genre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Sheet6!$E$3</c:f>
              <c:strCache>
                <c:ptCount val="1"/>
                <c:pt idx="0">
                  <c:v>Total</c:v>
                </c:pt>
              </c:strCache>
            </c:strRef>
          </c:tx>
          <c:spPr>
            <a:solidFill>
              <a:srgbClr val="C00000"/>
            </a:soli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Sheet6!$D$4:$D$13</c:f>
              <c:strCache>
                <c:ptCount val="9"/>
                <c:pt idx="0">
                  <c:v>Action</c:v>
                </c:pt>
                <c:pt idx="1">
                  <c:v>Anime</c:v>
                </c:pt>
                <c:pt idx="2">
                  <c:v>Comedy</c:v>
                </c:pt>
                <c:pt idx="3">
                  <c:v>Crime</c:v>
                </c:pt>
                <c:pt idx="4">
                  <c:v>Documentary</c:v>
                </c:pt>
                <c:pt idx="5">
                  <c:v>Drama</c:v>
                </c:pt>
                <c:pt idx="6">
                  <c:v>Romance</c:v>
                </c:pt>
                <c:pt idx="7">
                  <c:v>Sci-Fi</c:v>
                </c:pt>
                <c:pt idx="8">
                  <c:v>Thriller</c:v>
                </c:pt>
              </c:strCache>
            </c:strRef>
          </c:cat>
          <c:val>
            <c:numRef>
              <c:f>Sheet6!$E$4:$E$13</c:f>
              <c:numCache>
                <c:formatCode>General</c:formatCode>
                <c:ptCount val="9"/>
                <c:pt idx="0">
                  <c:v>13</c:v>
                </c:pt>
                <c:pt idx="1">
                  <c:v>30</c:v>
                </c:pt>
                <c:pt idx="2">
                  <c:v>24</c:v>
                </c:pt>
                <c:pt idx="3">
                  <c:v>27</c:v>
                </c:pt>
                <c:pt idx="4">
                  <c:v>28</c:v>
                </c:pt>
                <c:pt idx="5">
                  <c:v>26</c:v>
                </c:pt>
                <c:pt idx="6">
                  <c:v>26</c:v>
                </c:pt>
                <c:pt idx="7">
                  <c:v>18</c:v>
                </c:pt>
                <c:pt idx="8">
                  <c:v>18</c:v>
                </c:pt>
              </c:numCache>
            </c:numRef>
          </c:val>
          <c:extLst>
            <c:ext xmlns:c16="http://schemas.microsoft.com/office/drawing/2014/chart" uri="{C3380CC4-5D6E-409C-BE32-E72D297353CC}">
              <c16:uniqueId val="{00000000-6A05-4135-BBB0-E3F4DF193562}"/>
            </c:ext>
          </c:extLst>
        </c:ser>
        <c:dLbls>
          <c:showLegendKey val="0"/>
          <c:showVal val="0"/>
          <c:showCatName val="0"/>
          <c:showSerName val="0"/>
          <c:showPercent val="0"/>
          <c:showBubbleSize val="0"/>
        </c:dLbls>
        <c:gapWidth val="150"/>
        <c:gapDepth val="0"/>
        <c:shape val="box"/>
        <c:axId val="1070072319"/>
        <c:axId val="1070070879"/>
        <c:axId val="0"/>
      </c:bar3DChart>
      <c:catAx>
        <c:axId val="1070072319"/>
        <c:scaling>
          <c:orientation val="minMax"/>
        </c:scaling>
        <c:delete val="0"/>
        <c:axPos val="b"/>
        <c:numFmt formatCode="General" sourceLinked="1"/>
        <c:majorTickMark val="out"/>
        <c:minorTickMark val="none"/>
        <c:tickLblPos val="nextTo"/>
        <c:spPr>
          <a:noFill/>
          <a:ln>
            <a:noFill/>
          </a:ln>
          <a:effectLst/>
        </c:spPr>
        <c:txPr>
          <a:bodyPr rot="-1920000" spcFirstLastPara="1" vertOverflow="ellipsis" wrap="square" anchor="ctr" anchorCtr="1"/>
          <a:lstStyle/>
          <a:p>
            <a:pPr>
              <a:defRPr sz="900" b="0" i="0" u="none" strike="noStrike" kern="1200" baseline="0">
                <a:ln>
                  <a:noFill/>
                </a:ln>
                <a:solidFill>
                  <a:schemeClr val="bg1"/>
                </a:solidFill>
                <a:effectLst>
                  <a:glow>
                    <a:schemeClr val="accent1">
                      <a:alpha val="32000"/>
                    </a:schemeClr>
                  </a:glow>
                </a:effectLst>
                <a:latin typeface="+mn-lt"/>
                <a:ea typeface="+mn-ea"/>
                <a:cs typeface="+mn-cs"/>
              </a:defRPr>
            </a:pPr>
            <a:endParaRPr lang="en-US"/>
          </a:p>
        </c:txPr>
        <c:crossAx val="1070070879"/>
        <c:crosses val="autoZero"/>
        <c:auto val="1"/>
        <c:lblAlgn val="ctr"/>
        <c:lblOffset val="100"/>
        <c:noMultiLvlLbl val="0"/>
      </c:catAx>
      <c:valAx>
        <c:axId val="10700708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007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[netflix_dashboard.xlsx]Sheet6!PivotTable4</c:name>
    <c:fmtId val="11"/>
  </c:pivotSource>
  <c:chart>
    <c:title>
      <c:tx>
        <c:rich>
          <a:bodyPr rot="0" spcFirstLastPara="1" vertOverflow="ellipsis" vert="horz" wrap="square" anchor="ctr" anchorCtr="1"/>
          <a:lstStyle/>
          <a:p>
            <a:pPr>
              <a:defRPr b="0" i="0" u="none" strike="noStrike" kern="1200" baseline="0">
                <a:solidFill>
                  <a:schemeClr val="bg1"/>
                </a:solidFill>
                <a:effectLst/>
                <a:latin typeface="+mn-lt"/>
                <a:ea typeface="+mn-ea"/>
                <a:cs typeface="+mn-cs"/>
              </a:defRPr>
            </a:pPr>
            <a:r>
              <a:rPr lang="en-US"/>
              <a:t>Viewer</a:t>
            </a:r>
            <a:r>
              <a:rPr lang="en-US" baseline="0"/>
              <a:t> type</a:t>
            </a:r>
            <a:endParaRPr lang="en-US"/>
          </a:p>
        </c:rich>
      </c:tx>
      <c:layout>
        <c:manualLayout>
          <c:xMode val="edge"/>
          <c:yMode val="edge"/>
          <c:x val="4.0107414466638548E-2"/>
          <c:y val="0.10846236678920204"/>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bg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43566844115458E-2"/>
          <c:y val="0.31396380242089156"/>
          <c:w val="0.89695148061665719"/>
          <c:h val="0.57601195568631458"/>
        </c:manualLayout>
      </c:layout>
      <c:barChart>
        <c:barDir val="col"/>
        <c:grouping val="clustered"/>
        <c:varyColors val="0"/>
        <c:ser>
          <c:idx val="0"/>
          <c:order val="0"/>
          <c:tx>
            <c:strRef>
              <c:f>Sheet6!$H$3</c:f>
              <c:strCache>
                <c:ptCount val="1"/>
                <c:pt idx="0">
                  <c:v>Total</c:v>
                </c:pt>
              </c:strCache>
            </c:strRef>
          </c:tx>
          <c:spPr>
            <a:solidFill>
              <a:srgbClr val="C0000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prstDash val="sysDash"/>
              </a:ln>
              <a:effectLst/>
            </c:spPr>
            <c:trendlineType val="exp"/>
            <c:dispRSqr val="0"/>
            <c:dispEq val="0"/>
          </c:trendline>
          <c:cat>
            <c:strRef>
              <c:f>Sheet6!$G$4:$G$8</c:f>
              <c:strCache>
                <c:ptCount val="4"/>
                <c:pt idx="0">
                  <c:v>Binge watcher</c:v>
                </c:pt>
                <c:pt idx="1">
                  <c:v>Casual Viewer</c:v>
                </c:pt>
                <c:pt idx="2">
                  <c:v>Engaged Viewer</c:v>
                </c:pt>
                <c:pt idx="3">
                  <c:v>Regular Viewer</c:v>
                </c:pt>
              </c:strCache>
            </c:strRef>
          </c:cat>
          <c:val>
            <c:numRef>
              <c:f>Sheet6!$H$4:$H$8</c:f>
              <c:numCache>
                <c:formatCode>General</c:formatCode>
                <c:ptCount val="4"/>
                <c:pt idx="0">
                  <c:v>53</c:v>
                </c:pt>
                <c:pt idx="1">
                  <c:v>2</c:v>
                </c:pt>
                <c:pt idx="2">
                  <c:v>74</c:v>
                </c:pt>
                <c:pt idx="3">
                  <c:v>81</c:v>
                </c:pt>
              </c:numCache>
            </c:numRef>
          </c:val>
          <c:extLst>
            <c:ext xmlns:c16="http://schemas.microsoft.com/office/drawing/2014/chart" uri="{C3380CC4-5D6E-409C-BE32-E72D297353CC}">
              <c16:uniqueId val="{00000000-C9B9-4C38-B311-FE3A703C6D05}"/>
            </c:ext>
          </c:extLst>
        </c:ser>
        <c:dLbls>
          <c:dLblPos val="inEnd"/>
          <c:showLegendKey val="0"/>
          <c:showVal val="1"/>
          <c:showCatName val="0"/>
          <c:showSerName val="0"/>
          <c:showPercent val="0"/>
          <c:showBubbleSize val="0"/>
        </c:dLbls>
        <c:gapWidth val="41"/>
        <c:axId val="1564801183"/>
        <c:axId val="1564801663"/>
      </c:barChart>
      <c:catAx>
        <c:axId val="156480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564801663"/>
        <c:crosses val="autoZero"/>
        <c:auto val="1"/>
        <c:lblAlgn val="ctr"/>
        <c:lblOffset val="100"/>
        <c:noMultiLvlLbl val="0"/>
      </c:catAx>
      <c:valAx>
        <c:axId val="15648016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80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[netflix_dashboard.xlsx]Sheet6!PivotTable7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rPr>
              <a:t>Age</a:t>
            </a:r>
            <a:r>
              <a:rPr lang="en-IN" baseline="0">
                <a:solidFill>
                  <a:schemeClr val="bg1"/>
                </a:solidFill>
              </a:rPr>
              <a:t> group</a:t>
            </a:r>
            <a:endParaRPr lang="en-IN">
              <a:solidFill>
                <a:schemeClr val="bg1"/>
              </a:solidFill>
            </a:endParaRPr>
          </a:p>
        </c:rich>
      </c:tx>
      <c:layout>
        <c:manualLayout>
          <c:xMode val="edge"/>
          <c:yMode val="edge"/>
          <c:x val="0.38901377952755906"/>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FF0000"/>
          </a:solidFill>
          <a:ln>
            <a:noFill/>
          </a:ln>
          <a:effectLst>
            <a:outerShdw blurRad="254000" sx="102000" sy="102000" algn="ctr" rotWithShape="0">
              <a:prstClr val="black">
                <a:alpha val="20000"/>
              </a:prstClr>
            </a:outerShdw>
          </a:effectLst>
        </c:spPr>
      </c:pivotFmt>
      <c:pivotFmt>
        <c:idx val="3"/>
        <c:spPr>
          <a:solidFill>
            <a:srgbClr val="E20000"/>
          </a:solidFill>
          <a:ln>
            <a:noFill/>
          </a:ln>
          <a:effectLst>
            <a:outerShdw blurRad="254000" sx="102000" sy="102000" algn="ctr" rotWithShape="0">
              <a:prstClr val="black">
                <a:alpha val="20000"/>
              </a:prstClr>
            </a:outerShdw>
          </a:effectLst>
        </c:spPr>
      </c:pivotFmt>
      <c:pivotFmt>
        <c:idx val="4"/>
        <c:spPr>
          <a:solidFill>
            <a:srgbClr val="990000"/>
          </a:solidFill>
          <a:ln>
            <a:noFill/>
          </a:ln>
          <a:effectLst>
            <a:outerShdw blurRad="254000" sx="102000" sy="102000" algn="ctr" rotWithShape="0">
              <a:prstClr val="black">
                <a:alpha val="20000"/>
              </a:prstClr>
            </a:outerShdw>
          </a:effectLst>
        </c:spPr>
      </c:pivotFmt>
      <c:pivotFmt>
        <c:idx val="5"/>
        <c:spPr>
          <a:solidFill>
            <a:srgbClr val="FF8B8B"/>
          </a:solidFill>
          <a:ln>
            <a:noFill/>
          </a:ln>
          <a:effectLst>
            <a:outerShdw blurRad="254000" sx="102000" sy="102000" algn="ctr" rotWithShape="0">
              <a:prstClr val="black">
                <a:alpha val="20000"/>
              </a:prstClr>
            </a:outerShdw>
          </a:effectLst>
        </c:spPr>
      </c:pivotFmt>
      <c:pivotFmt>
        <c:idx val="6"/>
        <c:spPr>
          <a:solidFill>
            <a:srgbClr val="FF3B3B"/>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Sheet6!$H$11</c:f>
              <c:strCache>
                <c:ptCount val="1"/>
                <c:pt idx="0">
                  <c:v>Total</c:v>
                </c:pt>
              </c:strCache>
            </c:strRef>
          </c:tx>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A9-44A8-861F-0EFE8EF5F94F}"/>
              </c:ext>
            </c:extLst>
          </c:dPt>
          <c:dPt>
            <c:idx val="1"/>
            <c:bubble3D val="0"/>
            <c:spPr>
              <a:solidFill>
                <a:srgbClr val="E2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A9-44A8-861F-0EFE8EF5F94F}"/>
              </c:ext>
            </c:extLst>
          </c:dPt>
          <c:dPt>
            <c:idx val="2"/>
            <c:bubble3D val="0"/>
            <c:spPr>
              <a:solidFill>
                <a:srgbClr val="99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A9-44A8-861F-0EFE8EF5F94F}"/>
              </c:ext>
            </c:extLst>
          </c:dPt>
          <c:dPt>
            <c:idx val="3"/>
            <c:bubble3D val="0"/>
            <c:spPr>
              <a:solidFill>
                <a:srgbClr val="FF8B8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6A9-44A8-861F-0EFE8EF5F94F}"/>
              </c:ext>
            </c:extLst>
          </c:dPt>
          <c:dPt>
            <c:idx val="4"/>
            <c:bubble3D val="0"/>
            <c:spPr>
              <a:solidFill>
                <a:srgbClr val="FF3B3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6A9-44A8-861F-0EFE8EF5F9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Sheet6!$G$12:$G$17</c:f>
              <c:strCache>
                <c:ptCount val="5"/>
                <c:pt idx="0">
                  <c:v>Genz viewer</c:v>
                </c:pt>
                <c:pt idx="1">
                  <c:v>Mature viewer</c:v>
                </c:pt>
                <c:pt idx="2">
                  <c:v>mid career adult</c:v>
                </c:pt>
                <c:pt idx="3">
                  <c:v>senior viewer</c:v>
                </c:pt>
                <c:pt idx="4">
                  <c:v>Young Professionals</c:v>
                </c:pt>
              </c:strCache>
            </c:strRef>
          </c:cat>
          <c:val>
            <c:numRef>
              <c:f>Sheet6!$H$12:$H$17</c:f>
              <c:numCache>
                <c:formatCode>General</c:formatCode>
                <c:ptCount val="5"/>
                <c:pt idx="0">
                  <c:v>33</c:v>
                </c:pt>
                <c:pt idx="1">
                  <c:v>48</c:v>
                </c:pt>
                <c:pt idx="2">
                  <c:v>63</c:v>
                </c:pt>
                <c:pt idx="3">
                  <c:v>7</c:v>
                </c:pt>
                <c:pt idx="4">
                  <c:v>59</c:v>
                </c:pt>
              </c:numCache>
            </c:numRef>
          </c:val>
          <c:extLst>
            <c:ext xmlns:c16="http://schemas.microsoft.com/office/drawing/2014/chart" uri="{C3380CC4-5D6E-409C-BE32-E72D297353CC}">
              <c16:uniqueId val="{0000000A-E6A9-44A8-861F-0EFE8EF5F94F}"/>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[netflix_dashboard.xlsx]Sheet6!PivotTable9</c:name>
    <c:fmtId val="1"/>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Year wise Subscription</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FF0000"/>
            </a:solidFill>
            <a:round/>
          </a:ln>
          <a:effectLst/>
        </c:spPr>
        <c:marker>
          <c:symbol val="circle"/>
          <c:size val="17"/>
          <c:spPr>
            <a:solidFill>
              <a:srgbClr val="002060"/>
            </a:solidFill>
            <a:ln>
              <a:solidFill>
                <a:srgbClr val="FF0000"/>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Sheet6!$B$20</c:f>
              <c:strCache>
                <c:ptCount val="1"/>
                <c:pt idx="0">
                  <c:v>Total</c:v>
                </c:pt>
              </c:strCache>
            </c:strRef>
          </c:tx>
          <c:spPr>
            <a:ln w="31750" cap="rnd">
              <a:solidFill>
                <a:srgbClr val="FF0000"/>
              </a:solidFill>
              <a:round/>
            </a:ln>
            <a:effectLst/>
          </c:spPr>
          <c:marker>
            <c:symbol val="circle"/>
            <c:size val="17"/>
            <c:spPr>
              <a:solidFill>
                <a:srgbClr val="002060"/>
              </a:solidFill>
              <a:ln>
                <a:solidFill>
                  <a:srgbClr val="FF0000"/>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Sheet6!$A$21:$A$25</c:f>
              <c:strCache>
                <c:ptCount val="4"/>
                <c:pt idx="0">
                  <c:v>2022</c:v>
                </c:pt>
                <c:pt idx="1">
                  <c:v>2023</c:v>
                </c:pt>
                <c:pt idx="2">
                  <c:v>2024</c:v>
                </c:pt>
                <c:pt idx="3">
                  <c:v>2025</c:v>
                </c:pt>
              </c:strCache>
            </c:strRef>
          </c:cat>
          <c:val>
            <c:numRef>
              <c:f>Sheet6!$B$21:$B$25</c:f>
              <c:numCache>
                <c:formatCode>General</c:formatCode>
                <c:ptCount val="4"/>
                <c:pt idx="0">
                  <c:v>62</c:v>
                </c:pt>
                <c:pt idx="1">
                  <c:v>48</c:v>
                </c:pt>
                <c:pt idx="2">
                  <c:v>53</c:v>
                </c:pt>
                <c:pt idx="3">
                  <c:v>47</c:v>
                </c:pt>
              </c:numCache>
            </c:numRef>
          </c:val>
          <c:smooth val="0"/>
          <c:extLst>
            <c:ext xmlns:c16="http://schemas.microsoft.com/office/drawing/2014/chart" uri="{C3380CC4-5D6E-409C-BE32-E72D297353CC}">
              <c16:uniqueId val="{00000000-7512-43DF-9D7E-EBFE3AD03281}"/>
            </c:ext>
          </c:extLst>
        </c:ser>
        <c:dLbls>
          <c:dLblPos val="ctr"/>
          <c:showLegendKey val="0"/>
          <c:showVal val="1"/>
          <c:showCatName val="0"/>
          <c:showSerName val="0"/>
          <c:showPercent val="0"/>
          <c:showBubbleSize val="0"/>
        </c:dLbls>
        <c:dropLines>
          <c:spPr>
            <a:ln w="9525">
              <a:solidFill>
                <a:schemeClr val="dk1">
                  <a:lumMod val="35000"/>
                  <a:lumOff val="65000"/>
                </a:schemeClr>
              </a:solidFill>
              <a:prstDash val="dash"/>
            </a:ln>
            <a:effectLst/>
          </c:spPr>
        </c:dropLines>
        <c:marker val="1"/>
        <c:smooth val="0"/>
        <c:axId val="1200303039"/>
        <c:axId val="1200302079"/>
      </c:lineChart>
      <c:catAx>
        <c:axId val="1200303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200302079"/>
        <c:crosses val="autoZero"/>
        <c:auto val="1"/>
        <c:lblAlgn val="ctr"/>
        <c:lblOffset val="100"/>
        <c:noMultiLvlLbl val="0"/>
      </c:catAx>
      <c:valAx>
        <c:axId val="12003020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030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[netflix_dashboard.xlsx]Sheet6!PivotTable11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squar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rgbClr val="C00000"/>
            </a:solidFill>
            <a:round/>
          </a:ln>
          <a:effectLst/>
        </c:spPr>
        <c:marker>
          <c:symbol val="triangle"/>
          <c:size val="6"/>
          <c:spPr>
            <a:solidFill>
              <a:schemeClr val="accent1"/>
            </a:solidFill>
            <a:ln w="9525">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x"/>
          <c:size val="6"/>
          <c:spPr>
            <a:no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Sheet6!$H$20</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Sheet6!$G$21:$G$25</c:f>
              <c:strCache>
                <c:ptCount val="4"/>
                <c:pt idx="0">
                  <c:v>2</c:v>
                </c:pt>
                <c:pt idx="1">
                  <c:v>3</c:v>
                </c:pt>
                <c:pt idx="2">
                  <c:v>4</c:v>
                </c:pt>
                <c:pt idx="3">
                  <c:v>5</c:v>
                </c:pt>
              </c:strCache>
            </c:strRef>
          </c:cat>
          <c:val>
            <c:numRef>
              <c:f>Sheet6!$H$21:$H$25</c:f>
              <c:numCache>
                <c:formatCode>General</c:formatCode>
                <c:ptCount val="4"/>
                <c:pt idx="0">
                  <c:v>7</c:v>
                </c:pt>
                <c:pt idx="1">
                  <c:v>52</c:v>
                </c:pt>
                <c:pt idx="2">
                  <c:v>71</c:v>
                </c:pt>
                <c:pt idx="3">
                  <c:v>80</c:v>
                </c:pt>
              </c:numCache>
            </c:numRef>
          </c:val>
          <c:smooth val="0"/>
          <c:extLst>
            <c:ext xmlns:c16="http://schemas.microsoft.com/office/drawing/2014/chart" uri="{C3380CC4-5D6E-409C-BE32-E72D297353CC}">
              <c16:uniqueId val="{00000001-7D53-44E7-A517-51F9E269FEB7}"/>
            </c:ext>
          </c:extLst>
        </c:ser>
        <c:dLbls>
          <c:showLegendKey val="0"/>
          <c:showVal val="0"/>
          <c:showCatName val="0"/>
          <c:showSerName val="0"/>
          <c:showPercent val="0"/>
          <c:showBubbleSize val="0"/>
        </c:dLbls>
        <c:marker val="1"/>
        <c:smooth val="0"/>
        <c:axId val="1334850591"/>
        <c:axId val="1603357055"/>
      </c:lineChart>
      <c:catAx>
        <c:axId val="133485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603357055"/>
        <c:crosses val="autoZero"/>
        <c:auto val="1"/>
        <c:lblAlgn val="ctr"/>
        <c:lblOffset val="100"/>
        <c:noMultiLvlLbl val="0"/>
      </c:catAx>
      <c:valAx>
        <c:axId val="160335705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485059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[netflix_dashboard.xlsx]Sheet6!PivotTable11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Satisfaction</a:t>
            </a:r>
            <a:r>
              <a:rPr lang="en-US" baseline="0"/>
              <a:t> score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Sheet6!$H$20</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Sheet6!$G$21:$G$25</c:f>
              <c:strCache>
                <c:ptCount val="4"/>
                <c:pt idx="0">
                  <c:v>2</c:v>
                </c:pt>
                <c:pt idx="1">
                  <c:v>3</c:v>
                </c:pt>
                <c:pt idx="2">
                  <c:v>4</c:v>
                </c:pt>
                <c:pt idx="3">
                  <c:v>5</c:v>
                </c:pt>
              </c:strCache>
            </c:strRef>
          </c:cat>
          <c:val>
            <c:numRef>
              <c:f>Sheet6!$H$21:$H$25</c:f>
              <c:numCache>
                <c:formatCode>General</c:formatCode>
                <c:ptCount val="4"/>
                <c:pt idx="0">
                  <c:v>7</c:v>
                </c:pt>
                <c:pt idx="1">
                  <c:v>52</c:v>
                </c:pt>
                <c:pt idx="2">
                  <c:v>71</c:v>
                </c:pt>
                <c:pt idx="3">
                  <c:v>80</c:v>
                </c:pt>
              </c:numCache>
            </c:numRef>
          </c:val>
          <c:extLst>
            <c:ext xmlns:c16="http://schemas.microsoft.com/office/drawing/2014/chart" uri="{C3380CC4-5D6E-409C-BE32-E72D297353CC}">
              <c16:uniqueId val="{00000000-0355-44D1-97D9-069A3179092F}"/>
            </c:ext>
          </c:extLst>
        </c:ser>
        <c:dLbls>
          <c:showLegendKey val="0"/>
          <c:showVal val="1"/>
          <c:showCatName val="0"/>
          <c:showSerName val="0"/>
          <c:showPercent val="0"/>
          <c:showBubbleSize val="0"/>
        </c:dLbls>
        <c:dropLines>
          <c:spPr>
            <a:ln w="9525">
              <a:solidFill>
                <a:schemeClr val="lt1">
                  <a:lumMod val="95000"/>
                  <a:alpha val="54000"/>
                </a:schemeClr>
              </a:solidFill>
              <a:prstDash val="dash"/>
            </a:ln>
            <a:effectLst/>
          </c:spPr>
        </c:dropLines>
        <c:axId val="2102709583"/>
        <c:axId val="2102727823"/>
      </c:areaChart>
      <c:catAx>
        <c:axId val="21027095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2727823"/>
        <c:crosses val="autoZero"/>
        <c:auto val="1"/>
        <c:lblAlgn val="ctr"/>
        <c:lblOffset val="100"/>
        <c:noMultiLvlLbl val="0"/>
      </c:catAx>
      <c:valAx>
        <c:axId val="2102727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2709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10</xdr:col>
      <xdr:colOff>710658</xdr:colOff>
      <xdr:row>17</xdr:row>
      <xdr:rowOff>133536</xdr:rowOff>
    </xdr:from>
    <xdr:to>
      <xdr:col>12</xdr:col>
      <xdr:colOff>1924</xdr:colOff>
      <xdr:row>26</xdr:row>
      <xdr:rowOff>14796</xdr:rowOff>
    </xdr:to>
    <mc:AlternateContent xmlns:mc="http://schemas.openxmlformats.org/markup-compatibility/2006" xmlns:a14="http://schemas.microsoft.com/office/drawing/2010/main">
      <mc:Choice Requires="a14">
        <xdr:graphicFrame macro="">
          <xdr:nvGraphicFramePr>
            <xdr:cNvPr id="4" name="City_Tier">
              <a:extLst>
                <a:ext uri="{FF2B5EF4-FFF2-40B4-BE49-F238E27FC236}">
                  <a16:creationId xmlns:a16="http://schemas.microsoft.com/office/drawing/2014/main" id="{072FC978-AC1E-F2A6-5990-A56CA09F1860}"/>
                </a:ext>
              </a:extLst>
            </xdr:cNvPr>
            <xdr:cNvGraphicFramePr/>
          </xdr:nvGraphicFramePr>
          <xdr:xfrm>
            <a:off x="0" y="0"/>
            <a:ext cx="0" cy="0"/>
          </xdr:xfrm>
          <a:graphic>
            <a:graphicData uri="http://schemas.microsoft.com/office/drawing/2010/slicer">
              <sle:slicer xmlns:sle="http://schemas.microsoft.com/office/drawing/2010/slicer" name="City_Tier"/>
            </a:graphicData>
          </a:graphic>
        </xdr:graphicFrame>
      </mc:Choice>
      <mc:Fallback xmlns="">
        <xdr:sp macro="" textlink="">
          <xdr:nvSpPr>
            <xdr:cNvPr id="0" name=""/>
            <xdr:cNvSpPr>
              <a:spLocks noTextEdit="1"/>
            </xdr:cNvSpPr>
          </xdr:nvSpPr>
          <xdr:spPr>
            <a:xfrm>
              <a:off x="10476095" y="3277711"/>
              <a:ext cx="1828800" cy="1545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307833</xdr:colOff>
      <xdr:row>18</xdr:row>
      <xdr:rowOff>5475</xdr:rowOff>
    </xdr:from>
    <xdr:to>
      <xdr:col>10</xdr:col>
      <xdr:colOff>531254</xdr:colOff>
      <xdr:row>31</xdr:row>
      <xdr:rowOff>182381</xdr:rowOff>
    </xdr:to>
    <mc:AlternateContent xmlns:mc="http://schemas.openxmlformats.org/markup-compatibility/2006" xmlns:a14="http://schemas.microsoft.com/office/drawing/2010/main">
      <mc:Choice Requires="a14">
        <xdr:graphicFrame macro="">
          <xdr:nvGraphicFramePr>
            <xdr:cNvPr id="3" name="age group">
              <a:extLst>
                <a:ext uri="{FF2B5EF4-FFF2-40B4-BE49-F238E27FC236}">
                  <a16:creationId xmlns:a16="http://schemas.microsoft.com/office/drawing/2014/main" id="{1C023355-17F0-8F90-1DD3-56731C8BE51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467891" y="333460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233516</xdr:colOff>
      <xdr:row>51</xdr:row>
      <xdr:rowOff>122903</xdr:rowOff>
    </xdr:to>
    <xdr:pic>
      <xdr:nvPicPr>
        <xdr:cNvPr id="3" name="Picture 2">
          <a:extLst>
            <a:ext uri="{FF2B5EF4-FFF2-40B4-BE49-F238E27FC236}">
              <a16:creationId xmlns:a16="http://schemas.microsoft.com/office/drawing/2014/main" id="{F10EE8CB-E3C6-F5D9-F365-A821B500D6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251729" cy="9218265"/>
        </a:xfrm>
        <a:prstGeom prst="rect">
          <a:avLst/>
        </a:prstGeom>
      </xdr:spPr>
    </xdr:pic>
    <xdr:clientData/>
  </xdr:twoCellAnchor>
  <xdr:twoCellAnchor>
    <xdr:from>
      <xdr:col>15</xdr:col>
      <xdr:colOff>363992</xdr:colOff>
      <xdr:row>9</xdr:row>
      <xdr:rowOff>46491</xdr:rowOff>
    </xdr:from>
    <xdr:to>
      <xdr:col>25</xdr:col>
      <xdr:colOff>562080</xdr:colOff>
      <xdr:row>29</xdr:row>
      <xdr:rowOff>100427</xdr:rowOff>
    </xdr:to>
    <xdr:graphicFrame macro="">
      <xdr:nvGraphicFramePr>
        <xdr:cNvPr id="4" name="Chart 1">
          <a:extLst>
            <a:ext uri="{FF2B5EF4-FFF2-40B4-BE49-F238E27FC236}">
              <a16:creationId xmlns:a16="http://schemas.microsoft.com/office/drawing/2014/main" id="{14EC1FAA-3EB3-0801-9A7D-3CEDA7D81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512536</xdr:colOff>
      <xdr:row>30</xdr:row>
      <xdr:rowOff>40822</xdr:rowOff>
    </xdr:from>
    <xdr:to>
      <xdr:col>26</xdr:col>
      <xdr:colOff>11559</xdr:colOff>
      <xdr:row>49</xdr:row>
      <xdr:rowOff>164750</xdr:rowOff>
    </xdr:to>
    <xdr:graphicFrame macro="">
      <xdr:nvGraphicFramePr>
        <xdr:cNvPr id="5" name="Chart 2">
          <a:extLst>
            <a:ext uri="{FF2B5EF4-FFF2-40B4-BE49-F238E27FC236}">
              <a16:creationId xmlns:a16="http://schemas.microsoft.com/office/drawing/2014/main" id="{2DD53E3E-1C11-BF3A-3F59-281AC40B8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365364</xdr:colOff>
      <xdr:row>1</xdr:row>
      <xdr:rowOff>66334</xdr:rowOff>
    </xdr:from>
    <xdr:to>
      <xdr:col>22</xdr:col>
      <xdr:colOff>377892</xdr:colOff>
      <xdr:row>8</xdr:row>
      <xdr:rowOff>55896</xdr:rowOff>
    </xdr:to>
    <mc:AlternateContent xmlns:mc="http://schemas.openxmlformats.org/markup-compatibility/2006" xmlns:a14="http://schemas.microsoft.com/office/drawing/2010/main">
      <mc:Choice Requires="a14">
        <xdr:graphicFrame macro="">
          <xdr:nvGraphicFramePr>
            <xdr:cNvPr id="7" name="City_Tier 1">
              <a:extLst>
                <a:ext uri="{FF2B5EF4-FFF2-40B4-BE49-F238E27FC236}">
                  <a16:creationId xmlns:a16="http://schemas.microsoft.com/office/drawing/2014/main" id="{57D61474-2FAB-4B10-8580-183B408D6564}"/>
                </a:ext>
              </a:extLst>
            </xdr:cNvPr>
            <xdr:cNvGraphicFramePr/>
          </xdr:nvGraphicFramePr>
          <xdr:xfrm>
            <a:off x="0" y="0"/>
            <a:ext cx="0" cy="0"/>
          </xdr:xfrm>
          <a:graphic>
            <a:graphicData uri="http://schemas.microsoft.com/office/drawing/2010/slicer">
              <sle:slicer xmlns:sle="http://schemas.microsoft.com/office/drawing/2010/slicer" name="City_Tier 1"/>
            </a:graphicData>
          </a:graphic>
        </xdr:graphicFrame>
      </mc:Choice>
      <mc:Fallback xmlns="">
        <xdr:sp macro="" textlink="">
          <xdr:nvSpPr>
            <xdr:cNvPr id="0" name=""/>
            <xdr:cNvSpPr>
              <a:spLocks noTextEdit="1"/>
            </xdr:cNvSpPr>
          </xdr:nvSpPr>
          <xdr:spPr>
            <a:xfrm>
              <a:off x="12004540" y="245628"/>
              <a:ext cx="1850293" cy="1244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165739</xdr:colOff>
      <xdr:row>35</xdr:row>
      <xdr:rowOff>145915</xdr:rowOff>
    </xdr:from>
    <xdr:to>
      <xdr:col>16</xdr:col>
      <xdr:colOff>116365</xdr:colOff>
      <xdr:row>49</xdr:row>
      <xdr:rowOff>100337</xdr:rowOff>
    </xdr:to>
    <xdr:graphicFrame macro="">
      <xdr:nvGraphicFramePr>
        <xdr:cNvPr id="8" name="Chart 5">
          <a:extLst>
            <a:ext uri="{FF2B5EF4-FFF2-40B4-BE49-F238E27FC236}">
              <a16:creationId xmlns:a16="http://schemas.microsoft.com/office/drawing/2014/main" id="{85A15BC1-F7F1-5C8C-6F72-C8572EC65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334075</xdr:colOff>
      <xdr:row>32</xdr:row>
      <xdr:rowOff>45176</xdr:rowOff>
    </xdr:from>
    <xdr:to>
      <xdr:col>7</xdr:col>
      <xdr:colOff>604462</xdr:colOff>
      <xdr:row>50</xdr:row>
      <xdr:rowOff>115829</xdr:rowOff>
    </xdr:to>
    <xdr:graphicFrame macro="">
      <xdr:nvGraphicFramePr>
        <xdr:cNvPr id="9" name="Chart 6">
          <a:extLst>
            <a:ext uri="{FF2B5EF4-FFF2-40B4-BE49-F238E27FC236}">
              <a16:creationId xmlns:a16="http://schemas.microsoft.com/office/drawing/2014/main" id="{AE50E849-6CB9-041F-D1C8-36C5EEBA1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281910</xdr:colOff>
      <xdr:row>15</xdr:row>
      <xdr:rowOff>52852</xdr:rowOff>
    </xdr:from>
    <xdr:to>
      <xdr:col>10</xdr:col>
      <xdr:colOff>346942</xdr:colOff>
      <xdr:row>30</xdr:row>
      <xdr:rowOff>30729</xdr:rowOff>
    </xdr:to>
    <xdr:graphicFrame macro="">
      <xdr:nvGraphicFramePr>
        <xdr:cNvPr id="10" name="Chart 7">
          <a:extLst>
            <a:ext uri="{FF2B5EF4-FFF2-40B4-BE49-F238E27FC236}">
              <a16:creationId xmlns:a16="http://schemas.microsoft.com/office/drawing/2014/main" id="{779EE47F-B5F5-28B6-608A-97938C172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107155</xdr:colOff>
      <xdr:row>10</xdr:row>
      <xdr:rowOff>47625</xdr:rowOff>
    </xdr:from>
    <xdr:to>
      <xdr:col>33</xdr:col>
      <xdr:colOff>453956</xdr:colOff>
      <xdr:row>15</xdr:row>
      <xdr:rowOff>52944</xdr:rowOff>
    </xdr:to>
    <xdr:graphicFrame macro="">
      <xdr:nvGraphicFramePr>
        <xdr:cNvPr id="11" name="Chart 9">
          <a:extLst>
            <a:ext uri="{FF2B5EF4-FFF2-40B4-BE49-F238E27FC236}">
              <a16:creationId xmlns:a16="http://schemas.microsoft.com/office/drawing/2014/main" id="{98D7BD58-5F13-2C2A-AC78-FB4D65CC5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567765</xdr:colOff>
      <xdr:row>8</xdr:row>
      <xdr:rowOff>154780</xdr:rowOff>
    </xdr:from>
    <xdr:to>
      <xdr:col>26</xdr:col>
      <xdr:colOff>122465</xdr:colOff>
      <xdr:row>30</xdr:row>
      <xdr:rowOff>44822</xdr:rowOff>
    </xdr:to>
    <xdr:sp macro="" textlink="">
      <xdr:nvSpPr>
        <xdr:cNvPr id="2" name="TextBox 1">
          <a:extLst>
            <a:ext uri="{FF2B5EF4-FFF2-40B4-BE49-F238E27FC236}">
              <a16:creationId xmlns:a16="http://schemas.microsoft.com/office/drawing/2014/main" id="{8E8B9831-7447-E8CC-5893-2B645C340846}"/>
            </a:ext>
          </a:extLst>
        </xdr:cNvPr>
        <xdr:cNvSpPr txBox="1"/>
      </xdr:nvSpPr>
      <xdr:spPr>
        <a:xfrm>
          <a:off x="9144000" y="1589133"/>
          <a:ext cx="6905759" cy="3834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15</xdr:col>
      <xdr:colOff>571500</xdr:colOff>
      <xdr:row>30</xdr:row>
      <xdr:rowOff>163285</xdr:rowOff>
    </xdr:from>
    <xdr:ext cx="6245679" cy="3551465"/>
    <xdr:sp macro="" textlink="">
      <xdr:nvSpPr>
        <xdr:cNvPr id="12" name="TextBox 11">
          <a:extLst>
            <a:ext uri="{FF2B5EF4-FFF2-40B4-BE49-F238E27FC236}">
              <a16:creationId xmlns:a16="http://schemas.microsoft.com/office/drawing/2014/main" id="{CB8D2C95-DD1C-806B-AA42-65C8E759B92C}"/>
            </a:ext>
          </a:extLst>
        </xdr:cNvPr>
        <xdr:cNvSpPr txBox="1"/>
      </xdr:nvSpPr>
      <xdr:spPr>
        <a:xfrm>
          <a:off x="9756321" y="5470071"/>
          <a:ext cx="6245679" cy="355146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7</xdr:col>
      <xdr:colOff>470170</xdr:colOff>
      <xdr:row>35</xdr:row>
      <xdr:rowOff>0</xdr:rowOff>
    </xdr:from>
    <xdr:ext cx="5074596" cy="2675106"/>
    <xdr:sp macro="" textlink="">
      <xdr:nvSpPr>
        <xdr:cNvPr id="13" name="TextBox 12">
          <a:extLst>
            <a:ext uri="{FF2B5EF4-FFF2-40B4-BE49-F238E27FC236}">
              <a16:creationId xmlns:a16="http://schemas.microsoft.com/office/drawing/2014/main" id="{B4CB70F6-78C1-03D4-403A-DFCADDB092BE}"/>
            </a:ext>
          </a:extLst>
        </xdr:cNvPr>
        <xdr:cNvSpPr txBox="1"/>
      </xdr:nvSpPr>
      <xdr:spPr>
        <a:xfrm>
          <a:off x="4782766" y="6241915"/>
          <a:ext cx="5074596" cy="26751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0</xdr:col>
      <xdr:colOff>129702</xdr:colOff>
      <xdr:row>31</xdr:row>
      <xdr:rowOff>162129</xdr:rowOff>
    </xdr:from>
    <xdr:ext cx="4961107" cy="3193914"/>
    <xdr:sp macro="" textlink="">
      <xdr:nvSpPr>
        <xdr:cNvPr id="14" name="TextBox 13">
          <a:extLst>
            <a:ext uri="{FF2B5EF4-FFF2-40B4-BE49-F238E27FC236}">
              <a16:creationId xmlns:a16="http://schemas.microsoft.com/office/drawing/2014/main" id="{67E3B3E6-1F45-4F8A-F7BD-70B7681815A4}"/>
            </a:ext>
          </a:extLst>
        </xdr:cNvPr>
        <xdr:cNvSpPr txBox="1"/>
      </xdr:nvSpPr>
      <xdr:spPr>
        <a:xfrm>
          <a:off x="129702" y="5690682"/>
          <a:ext cx="4961107" cy="3193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162129</xdr:colOff>
      <xdr:row>14</xdr:row>
      <xdr:rowOff>16212</xdr:rowOff>
    </xdr:from>
    <xdr:ext cx="6663446" cy="2950723"/>
    <xdr:sp macro="" textlink="">
      <xdr:nvSpPr>
        <xdr:cNvPr id="15" name="TextBox 14">
          <a:extLst>
            <a:ext uri="{FF2B5EF4-FFF2-40B4-BE49-F238E27FC236}">
              <a16:creationId xmlns:a16="http://schemas.microsoft.com/office/drawing/2014/main" id="{B43D8535-24D7-226D-7392-07AC55DE78D7}"/>
            </a:ext>
          </a:extLst>
        </xdr:cNvPr>
        <xdr:cNvSpPr txBox="1"/>
      </xdr:nvSpPr>
      <xdr:spPr>
        <a:xfrm>
          <a:off x="162129" y="2512978"/>
          <a:ext cx="6663446" cy="2950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271603</xdr:colOff>
      <xdr:row>0</xdr:row>
      <xdr:rowOff>136502</xdr:rowOff>
    </xdr:from>
    <xdr:to>
      <xdr:col>9</xdr:col>
      <xdr:colOff>64851</xdr:colOff>
      <xdr:row>16</xdr:row>
      <xdr:rowOff>26255</xdr:rowOff>
    </xdr:to>
    <xdr:graphicFrame macro="">
      <xdr:nvGraphicFramePr>
        <xdr:cNvPr id="16" name="Chart 1">
          <a:extLst>
            <a:ext uri="{FF2B5EF4-FFF2-40B4-BE49-F238E27FC236}">
              <a16:creationId xmlns:a16="http://schemas.microsoft.com/office/drawing/2014/main" id="{AA793B27-7846-0E54-CBCC-037A529EA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547992</xdr:colOff>
      <xdr:row>2</xdr:row>
      <xdr:rowOff>45895</xdr:rowOff>
    </xdr:from>
    <xdr:ext cx="1994169" cy="1151106"/>
    <xdr:sp macro="" textlink="">
      <xdr:nvSpPr>
        <xdr:cNvPr id="17" name="TextBox 16">
          <a:extLst>
            <a:ext uri="{FF2B5EF4-FFF2-40B4-BE49-F238E27FC236}">
              <a16:creationId xmlns:a16="http://schemas.microsoft.com/office/drawing/2014/main" id="{CD9DEFCD-19B6-7F29-5D63-1AD2233B3042}"/>
            </a:ext>
          </a:extLst>
        </xdr:cNvPr>
        <xdr:cNvSpPr txBox="1"/>
      </xdr:nvSpPr>
      <xdr:spPr>
        <a:xfrm>
          <a:off x="6034392" y="421033"/>
          <a:ext cx="1994169" cy="11511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solidFill>
                <a:schemeClr val="bg1"/>
              </a:solidFill>
            </a:rPr>
            <a:t>Most frequent score</a:t>
          </a:r>
          <a:r>
            <a:rPr lang="en-IN" sz="2000" b="1" baseline="0">
              <a:solidFill>
                <a:schemeClr val="bg1"/>
              </a:solidFill>
            </a:rPr>
            <a:t> :</a:t>
          </a:r>
        </a:p>
        <a:p>
          <a:pPr algn="ctr"/>
          <a:r>
            <a:rPr lang="en-IN" sz="2000" b="1" baseline="0">
              <a:solidFill>
                <a:schemeClr val="bg1"/>
              </a:solidFill>
            </a:rPr>
            <a:t>5</a:t>
          </a:r>
          <a:endParaRPr lang="en-IN" sz="2000" b="1">
            <a:solidFill>
              <a:schemeClr val="bg1"/>
            </a:solidFill>
          </a:endParaRPr>
        </a:p>
      </xdr:txBody>
    </xdr:sp>
    <xdr:clientData/>
  </xdr:oneCellAnchor>
  <xdr:oneCellAnchor>
    <xdr:from>
      <xdr:col>13</xdr:col>
      <xdr:colOff>222737</xdr:colOff>
      <xdr:row>1</xdr:row>
      <xdr:rowOff>82812</xdr:rowOff>
    </xdr:from>
    <xdr:ext cx="1977958" cy="1248382"/>
    <xdr:sp macro="" textlink="">
      <xdr:nvSpPr>
        <xdr:cNvPr id="18" name="TextBox 17">
          <a:extLst>
            <a:ext uri="{FF2B5EF4-FFF2-40B4-BE49-F238E27FC236}">
              <a16:creationId xmlns:a16="http://schemas.microsoft.com/office/drawing/2014/main" id="{60BA4992-0DCC-92C5-80CC-E93C018936E4}"/>
            </a:ext>
          </a:extLst>
        </xdr:cNvPr>
        <xdr:cNvSpPr txBox="1"/>
      </xdr:nvSpPr>
      <xdr:spPr>
        <a:xfrm>
          <a:off x="8147537" y="270381"/>
          <a:ext cx="1977958" cy="124838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bg1"/>
              </a:solidFill>
              <a:latin typeface="+mj-lt"/>
            </a:rPr>
            <a:t>Max  tenure</a:t>
          </a:r>
        </a:p>
        <a:p>
          <a:pPr algn="ctr"/>
          <a:r>
            <a:rPr lang="en-IN" sz="2000" b="1" baseline="0">
              <a:solidFill>
                <a:schemeClr val="bg1"/>
              </a:solidFill>
              <a:latin typeface="+mj-lt"/>
            </a:rPr>
            <a:t> months:</a:t>
          </a:r>
        </a:p>
        <a:p>
          <a:pPr algn="ctr"/>
          <a:r>
            <a:rPr lang="en-IN" sz="2000" b="1" baseline="0">
              <a:solidFill>
                <a:schemeClr val="bg1"/>
              </a:solidFill>
              <a:latin typeface="+mj-lt"/>
            </a:rPr>
            <a:t>48</a:t>
          </a:r>
          <a:endParaRPr lang="en-IN" sz="2000" b="1">
            <a:solidFill>
              <a:schemeClr val="bg1"/>
            </a:solidFill>
            <a:latin typeface="+mj-lt"/>
          </a:endParaRPr>
        </a:p>
      </xdr:txBody>
    </xdr:sp>
    <xdr:clientData/>
  </xdr:oneCellAnchor>
  <xdr:twoCellAnchor editAs="oneCell">
    <xdr:from>
      <xdr:col>23</xdr:col>
      <xdr:colOff>16213</xdr:colOff>
      <xdr:row>0</xdr:row>
      <xdr:rowOff>145916</xdr:rowOff>
    </xdr:from>
    <xdr:to>
      <xdr:col>25</xdr:col>
      <xdr:colOff>612842</xdr:colOff>
      <xdr:row>11</xdr:row>
      <xdr:rowOff>0</xdr:rowOff>
    </xdr:to>
    <mc:AlternateContent xmlns:mc="http://schemas.openxmlformats.org/markup-compatibility/2006" xmlns:a14="http://schemas.microsoft.com/office/drawing/2010/main">
      <mc:Choice Requires="a14">
        <xdr:graphicFrame macro="">
          <xdr:nvGraphicFramePr>
            <xdr:cNvPr id="20" name="age group 1">
              <a:extLst>
                <a:ext uri="{FF2B5EF4-FFF2-40B4-BE49-F238E27FC236}">
                  <a16:creationId xmlns:a16="http://schemas.microsoft.com/office/drawing/2014/main" id="{36C61A18-3C05-4CEB-8B1F-866DCE22966B}"/>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4105742" y="145916"/>
              <a:ext cx="1821806" cy="182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 JAIN" refreshedDate="46086.723875694443" createdVersion="8" refreshedVersion="8" minRefreshableVersion="3" recordCount="602" xr:uid="{7D42DF2A-9775-463C-B6AC-1B055E9AB38B}">
  <cacheSource type="worksheet">
    <worksheetSource ref="A1:T1048576" sheet="Sheet2"/>
  </cacheSource>
  <cacheFields count="23">
    <cacheField name="Customer_ID" numFmtId="0">
      <sharedItems containsBlank="1" count="601">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 v="CUST0501"/>
        <s v="CUST0502"/>
        <s v="CUST0503"/>
        <s v="CUST0504"/>
        <s v="CUST0505"/>
        <s v="CUST0506"/>
        <s v="CUST0507"/>
        <s v="CUST0508"/>
        <s v="CUST0509"/>
        <s v="CUST0510"/>
        <s v="CUST0511"/>
        <s v="CUST0512"/>
        <s v="CUST0513"/>
        <s v="CUST0514"/>
        <s v="CUST0515"/>
        <s v="CUST0516"/>
        <s v="CUST0517"/>
        <s v="CUST0518"/>
        <s v="CUST0519"/>
        <s v="CUST0520"/>
        <s v="CUST0521"/>
        <s v="CUST0522"/>
        <s v="CUST0523"/>
        <s v="CUST0524"/>
        <s v="CUST0525"/>
        <s v="CUST0526"/>
        <s v="CUST0527"/>
        <s v="CUST0528"/>
        <s v="CUST0529"/>
        <s v="CUST0530"/>
        <s v="CUST0531"/>
        <s v="CUST0532"/>
        <s v="CUST0533"/>
        <s v="CUST0534"/>
        <s v="CUST0535"/>
        <s v="CUST0536"/>
        <s v="CUST0537"/>
        <s v="CUST0538"/>
        <s v="CUST0539"/>
        <s v="CUST0540"/>
        <s v="CUST0541"/>
        <s v="CUST0542"/>
        <s v="CUST0543"/>
        <s v="CUST0544"/>
        <s v="CUST0545"/>
        <s v="CUST0546"/>
        <s v="CUST0547"/>
        <s v="CUST0548"/>
        <s v="CUST0549"/>
        <s v="CUST0550"/>
        <s v="CUST0551"/>
        <s v="CUST0552"/>
        <s v="CUST0553"/>
        <s v="CUST0554"/>
        <s v="CUST0555"/>
        <s v="CUST0556"/>
        <s v="CUST0557"/>
        <s v="CUST0558"/>
        <s v="CUST0559"/>
        <s v="CUST0560"/>
        <s v="CUST0561"/>
        <s v="CUST0562"/>
        <s v="CUST0563"/>
        <s v="CUST0564"/>
        <s v="CUST0565"/>
        <s v="CUST0566"/>
        <s v="CUST0567"/>
        <s v="CUST0568"/>
        <s v="CUST0569"/>
        <s v="CUST0570"/>
        <s v="CUST0571"/>
        <s v="CUST0572"/>
        <s v="CUST0573"/>
        <s v="CUST0574"/>
        <s v="CUST0575"/>
        <s v="CUST0576"/>
        <s v="CUST0577"/>
        <s v="CUST0578"/>
        <s v="CUST0579"/>
        <s v="CUST0580"/>
        <s v="CUST0581"/>
        <s v="CUST0582"/>
        <s v="CUST0583"/>
        <s v="CUST0584"/>
        <s v="CUST0585"/>
        <s v="CUST0586"/>
        <s v="CUST0587"/>
        <s v="CUST0588"/>
        <s v="CUST0589"/>
        <s v="CUST0590"/>
        <s v="CUST0591"/>
        <s v="CUST0592"/>
        <s v="CUST0593"/>
        <s v="CUST0594"/>
        <s v="CUST0595"/>
        <s v="CUST0596"/>
        <s v="CUST0597"/>
        <s v="CUST0598"/>
        <s v="CUST0599"/>
        <s v="CUST0600"/>
        <m/>
      </sharedItems>
    </cacheField>
    <cacheField name="Subscription_Date" numFmtId="14">
      <sharedItems containsNonDate="0" containsDate="1" containsString="0" containsBlank="1" minDate="2022-01-01T00:00:00" maxDate="2026-01-01T00:00:00" count="481">
        <d v="2025-11-05T00:00:00"/>
        <d v="2025-11-19T00:00:00"/>
        <d v="2025-08-22T00:00:00"/>
        <d v="2023-12-26T00:00:00"/>
        <d v="2023-08-06T00:00:00"/>
        <d v="2025-10-24T00:00:00"/>
        <d v="2025-04-03T00:00:00"/>
        <d v="2023-11-24T00:00:00"/>
        <d v="2023-11-01T00:00:00"/>
        <d v="2024-09-13T00:00:00"/>
        <d v="2023-01-23T00:00:00"/>
        <d v="2023-08-14T00:00:00"/>
        <d v="2024-03-15T00:00:00"/>
        <d v="2024-06-10T00:00:00"/>
        <d v="2024-08-17T00:00:00"/>
        <d v="2022-01-24T00:00:00"/>
        <d v="2025-11-09T00:00:00"/>
        <d v="2022-11-15T00:00:00"/>
        <d v="2022-09-17T00:00:00"/>
        <d v="2022-04-06T00:00:00"/>
        <d v="2022-05-22T00:00:00"/>
        <d v="2022-03-13T00:00:00"/>
        <d v="2023-12-04T00:00:00"/>
        <d v="2024-10-03T00:00:00"/>
        <d v="2024-08-01T00:00:00"/>
        <d v="2022-07-31T00:00:00"/>
        <d v="2023-04-18T00:00:00"/>
        <d v="2022-10-30T00:00:00"/>
        <d v="2024-08-28T00:00:00"/>
        <d v="2023-04-29T00:00:00"/>
        <d v="2023-10-29T00:00:00"/>
        <d v="2024-12-06T00:00:00"/>
        <d v="2025-12-16T00:00:00"/>
        <d v="2025-05-05T00:00:00"/>
        <d v="2025-10-03T00:00:00"/>
        <d v="2023-11-19T00:00:00"/>
        <d v="2024-07-06T00:00:00"/>
        <d v="2024-04-19T00:00:00"/>
        <d v="2023-10-03T00:00:00"/>
        <d v="2024-08-16T00:00:00"/>
        <d v="2025-12-08T00:00:00"/>
        <d v="2023-07-20T00:00:00"/>
        <d v="2025-03-17T00:00:00"/>
        <d v="2022-05-27T00:00:00"/>
        <d v="2023-01-28T00:00:00"/>
        <d v="2022-06-03T00:00:00"/>
        <d v="2024-05-15T00:00:00"/>
        <d v="2023-06-10T00:00:00"/>
        <d v="2025-12-19T00:00:00"/>
        <d v="2023-07-27T00:00:00"/>
        <d v="2022-02-21T00:00:00"/>
        <d v="2022-12-22T00:00:00"/>
        <d v="2024-11-16T00:00:00"/>
        <d v="2022-02-16T00:00:00"/>
        <d v="2025-08-06T00:00:00"/>
        <d v="2025-05-08T00:00:00"/>
        <d v="2022-06-06T00:00:00"/>
        <d v="2022-04-30T00:00:00"/>
        <d v="2023-06-30T00:00:00"/>
        <d v="2022-03-08T00:00:00"/>
        <d v="2024-10-24T00:00:00"/>
        <d v="2022-04-08T00:00:00"/>
        <d v="2024-10-31T00:00:00"/>
        <d v="2025-01-21T00:00:00"/>
        <d v="2025-02-11T00:00:00"/>
        <d v="2022-06-05T00:00:00"/>
        <d v="2023-11-18T00:00:00"/>
        <d v="2022-08-24T00:00:00"/>
        <d v="2022-03-06T00:00:00"/>
        <d v="2023-11-04T00:00:00"/>
        <d v="2023-07-23T00:00:00"/>
        <d v="2024-10-28T00:00:00"/>
        <d v="2022-01-19T00:00:00"/>
        <d v="2023-09-15T00:00:00"/>
        <d v="2023-02-03T00:00:00"/>
        <d v="2024-03-18T00:00:00"/>
        <d v="2022-08-23T00:00:00"/>
        <d v="2022-04-14T00:00:00"/>
        <d v="2022-07-23T00:00:00"/>
        <d v="2025-02-01T00:00:00"/>
        <d v="2022-12-31T00:00:00"/>
        <d v="2025-09-11T00:00:00"/>
        <d v="2023-07-13T00:00:00"/>
        <d v="2023-10-09T00:00:00"/>
        <d v="2023-11-16T00:00:00"/>
        <d v="2025-02-13T00:00:00"/>
        <d v="2022-09-27T00:00:00"/>
        <d v="2023-10-19T00:00:00"/>
        <d v="2024-07-27T00:00:00"/>
        <d v="2025-02-27T00:00:00"/>
        <d v="2024-09-03T00:00:00"/>
        <d v="2023-07-02T00:00:00"/>
        <d v="2024-10-15T00:00:00"/>
        <d v="2023-01-07T00:00:00"/>
        <d v="2024-10-29T00:00:00"/>
        <d v="2024-01-29T00:00:00"/>
        <d v="2024-01-30T00:00:00"/>
        <d v="2022-01-28T00:00:00"/>
        <d v="2024-04-28T00:00:00"/>
        <d v="2024-11-15T00:00:00"/>
        <d v="2024-06-14T00:00:00"/>
        <d v="2023-07-03T00:00:00"/>
        <d v="2025-12-25T00:00:00"/>
        <d v="2025-09-05T00:00:00"/>
        <d v="2023-07-01T00:00:00"/>
        <d v="2025-06-25T00:00:00"/>
        <d v="2023-09-28T00:00:00"/>
        <d v="2023-02-20T00:00:00"/>
        <d v="2022-10-09T00:00:00"/>
        <d v="2025-05-24T00:00:00"/>
        <d v="2022-11-10T00:00:00"/>
        <d v="2025-04-18T00:00:00"/>
        <d v="2023-07-21T00:00:00"/>
        <d v="2022-02-08T00:00:00"/>
        <d v="2023-09-04T00:00:00"/>
        <d v="2024-05-01T00:00:00"/>
        <d v="2025-10-13T00:00:00"/>
        <d v="2022-08-21T00:00:00"/>
        <d v="2022-06-23T00:00:00"/>
        <d v="2024-09-25T00:00:00"/>
        <d v="2024-02-10T00:00:00"/>
        <d v="2024-11-10T00:00:00"/>
        <d v="2022-05-28T00:00:00"/>
        <d v="2025-12-11T00:00:00"/>
        <d v="2022-01-27T00:00:00"/>
        <d v="2024-09-27T00:00:00"/>
        <d v="2022-12-27T00:00:00"/>
        <d v="2024-01-14T00:00:00"/>
        <d v="2025-06-21T00:00:00"/>
        <d v="2024-10-19T00:00:00"/>
        <d v="2024-02-25T00:00:00"/>
        <d v="2025-07-31T00:00:00"/>
        <d v="2023-08-16T00:00:00"/>
        <d v="2024-11-08T00:00:00"/>
        <d v="2022-10-26T00:00:00"/>
        <d v="2022-06-25T00:00:00"/>
        <d v="2025-10-16T00:00:00"/>
        <d v="2022-04-15T00:00:00"/>
        <d v="2022-11-23T00:00:00"/>
        <d v="2024-01-04T00:00:00"/>
        <d v="2025-05-02T00:00:00"/>
        <d v="2024-06-08T00:00:00"/>
        <d v="2022-03-16T00:00:00"/>
        <d v="2023-12-19T00:00:00"/>
        <d v="2023-12-05T00:00:00"/>
        <d v="2023-08-29T00:00:00"/>
        <d v="2025-08-30T00:00:00"/>
        <d v="2024-05-04T00:00:00"/>
        <d v="2022-10-11T00:00:00"/>
        <d v="2024-02-03T00:00:00"/>
        <d v="2025-04-05T00:00:00"/>
        <d v="2023-10-10T00:00:00"/>
        <d v="2022-10-19T00:00:00"/>
        <d v="2023-03-31T00:00:00"/>
        <d v="2023-05-24T00:00:00"/>
        <d v="2025-05-21T00:00:00"/>
        <d v="2023-09-07T00:00:00"/>
        <d v="2022-10-06T00:00:00"/>
        <d v="2024-09-16T00:00:00"/>
        <d v="2024-01-05T00:00:00"/>
        <d v="2023-04-30T00:00:00"/>
        <d v="2025-07-15T00:00:00"/>
        <d v="2024-11-19T00:00:00"/>
        <d v="2023-05-28T00:00:00"/>
        <d v="2025-03-19T00:00:00"/>
        <d v="2025-10-19T00:00:00"/>
        <d v="2023-02-22T00:00:00"/>
        <d v="2023-05-04T00:00:00"/>
        <d v="2025-10-28T00:00:00"/>
        <d v="2023-04-08T00:00:00"/>
        <d v="2024-11-21T00:00:00"/>
        <d v="2023-02-07T00:00:00"/>
        <d v="2022-04-25T00:00:00"/>
        <d v="2025-07-29T00:00:00"/>
        <d v="2023-03-10T00:00:00"/>
        <d v="2024-09-30T00:00:00"/>
        <d v="2022-02-01T00:00:00"/>
        <d v="2023-04-22T00:00:00"/>
        <d v="2022-12-20T00:00:00"/>
        <d v="2023-03-15T00:00:00"/>
        <d v="2023-05-21T00:00:00"/>
        <d v="2025-07-24T00:00:00"/>
        <d v="2025-07-20T00:00:00"/>
        <d v="2024-02-21T00:00:00"/>
        <d v="2025-07-22T00:00:00"/>
        <d v="2025-02-15T00:00:00"/>
        <d v="2024-04-01T00:00:00"/>
        <d v="2025-07-21T00:00:00"/>
        <d v="2022-12-08T00:00:00"/>
        <d v="2022-08-29T00:00:00"/>
        <d v="2025-07-23T00:00:00"/>
        <d v="2024-08-11T00:00:00"/>
        <d v="2022-01-18T00:00:00"/>
        <d v="2023-01-14T00:00:00"/>
        <d v="2025-05-07T00:00:00"/>
        <d v="2022-10-27T00:00:00"/>
        <d v="2023-12-07T00:00:00"/>
        <d v="2022-08-05T00:00:00"/>
        <d v="2022-11-05T00:00:00"/>
        <d v="2025-11-12T00:00:00"/>
        <d v="2023-07-26T00:00:00"/>
        <d v="2022-04-19T00:00:00"/>
        <d v="2024-12-29T00:00:00"/>
        <d v="2023-04-09T00:00:00"/>
        <d v="2022-02-10T00:00:00"/>
        <d v="2024-08-08T00:00:00"/>
        <d v="2022-06-04T00:00:00"/>
        <d v="2024-07-14T00:00:00"/>
        <d v="2024-02-09T00:00:00"/>
        <d v="2025-01-04T00:00:00"/>
        <d v="2024-04-06T00:00:00"/>
        <d v="2024-06-16T00:00:00"/>
        <d v="2023-06-17T00:00:00"/>
        <d v="2023-12-28T00:00:00"/>
        <d v="2023-07-08T00:00:00"/>
        <d v="2025-03-20T00:00:00"/>
        <d v="2024-06-09T00:00:00"/>
        <d v="2022-11-28T00:00:00"/>
        <d v="2025-04-12T00:00:00"/>
        <d v="2025-12-31T00:00:00"/>
        <d v="2025-09-16T00:00:00"/>
        <d v="2024-02-22T00:00:00"/>
        <d v="2024-12-03T00:00:00"/>
        <d v="2022-03-07T00:00:00"/>
        <d v="2024-03-19T00:00:00"/>
        <d v="2022-10-01T00:00:00"/>
        <d v="2022-08-25T00:00:00"/>
        <d v="2024-05-03T00:00:00"/>
        <d v="2023-03-13T00:00:00"/>
        <d v="2025-02-09T00:00:00"/>
        <d v="2024-04-08T00:00:00"/>
        <d v="2023-02-18T00:00:00"/>
        <d v="2024-12-20T00:00:00"/>
        <d v="2025-12-03T00:00:00"/>
        <d v="2022-04-10T00:00:00"/>
        <d v="2023-10-27T00:00:00"/>
        <d v="2023-10-05T00:00:00"/>
        <d v="2025-04-20T00:00:00"/>
        <d v="2023-06-28T00:00:00"/>
        <d v="2024-06-27T00:00:00"/>
        <d v="2025-03-08T00:00:00"/>
        <d v="2025-12-30T00:00:00"/>
        <d v="2023-12-31T00:00:00"/>
        <d v="2022-12-01T00:00:00"/>
        <d v="2024-08-24T00:00:00"/>
        <d v="2024-06-24T00:00:00"/>
        <d v="2025-09-22T00:00:00"/>
        <d v="2022-11-17T00:00:00"/>
        <d v="2025-06-08T00:00:00"/>
        <d v="2024-07-20T00:00:00"/>
        <d v="2025-07-02T00:00:00"/>
        <d v="2022-10-31T00:00:00"/>
        <d v="2023-07-30T00:00:00"/>
        <d v="2022-10-04T00:00:00"/>
        <d v="2022-04-21T00:00:00"/>
        <d v="2025-09-07T00:00:00"/>
        <d v="2025-01-07T00:00:00"/>
        <d v="2024-12-07T00:00:00"/>
        <d v="2023-07-29T00:00:00"/>
        <d v="2025-09-09T00:00:00"/>
        <d v="2023-03-24T00:00:00"/>
        <d v="2022-10-18T00:00:00"/>
        <d v="2022-03-03T00:00:00"/>
        <d v="2025-03-11T00:00:00"/>
        <d v="2023-06-14T00:00:00"/>
        <d v="2022-11-03T00:00:00"/>
        <d v="2023-06-23T00:00:00"/>
        <d v="2023-01-29T00:00:00"/>
        <d v="2022-09-25T00:00:00"/>
        <d v="2022-05-11T00:00:00"/>
        <d v="2025-07-27T00:00:00"/>
        <d v="2022-01-10T00:00:00"/>
        <d v="2022-11-04T00:00:00"/>
        <d v="2022-07-02T00:00:00"/>
        <d v="2022-12-07T00:00:00"/>
        <d v="2025-07-25T00:00:00"/>
        <d v="2022-11-20T00:00:00"/>
        <d v="2025-11-28T00:00:00"/>
        <d v="2023-10-24T00:00:00"/>
        <d v="2023-03-25T00:00:00"/>
        <d v="2022-10-05T00:00:00"/>
        <d v="2022-09-12T00:00:00"/>
        <d v="2025-01-15T00:00:00"/>
        <d v="2024-11-09T00:00:00"/>
        <d v="2024-10-09T00:00:00"/>
        <d v="2025-11-21T00:00:00"/>
        <d v="2024-03-10T00:00:00"/>
        <d v="2024-06-07T00:00:00"/>
        <d v="2025-03-10T00:00:00"/>
        <d v="2025-10-22T00:00:00"/>
        <d v="2022-09-05T00:00:00"/>
        <d v="2025-07-16T00:00:00"/>
        <d v="2025-01-05T00:00:00"/>
        <d v="2024-02-14T00:00:00"/>
        <d v="2024-12-14T00:00:00"/>
        <d v="2023-12-10T00:00:00"/>
        <d v="2024-02-18T00:00:00"/>
        <d v="2025-06-23T00:00:00"/>
        <d v="2025-01-17T00:00:00"/>
        <d v="2022-07-18T00:00:00"/>
        <d v="2024-02-07T00:00:00"/>
        <d v="2025-08-27T00:00:00"/>
        <d v="2025-02-14T00:00:00"/>
        <d v="2024-04-18T00:00:00"/>
        <d v="2023-12-22T00:00:00"/>
        <d v="2022-10-24T00:00:00"/>
        <d v="2022-10-03T00:00:00"/>
        <d v="2023-06-12T00:00:00"/>
        <d v="2022-07-20T00:00:00"/>
        <d v="2024-10-17T00:00:00"/>
        <d v="2022-05-29T00:00:00"/>
        <d v="2024-05-29T00:00:00"/>
        <d v="2023-02-10T00:00:00"/>
        <d v="2025-04-25T00:00:00"/>
        <d v="2023-07-15T00:00:00"/>
        <d v="2024-04-05T00:00:00"/>
        <d v="2025-02-22T00:00:00"/>
        <d v="2022-02-28T00:00:00"/>
        <d v="2024-05-30T00:00:00"/>
        <d v="2024-06-23T00:00:00"/>
        <d v="2022-07-08T00:00:00"/>
        <d v="2022-05-07T00:00:00"/>
        <d v="2025-05-10T00:00:00"/>
        <d v="2024-06-19T00:00:00"/>
        <d v="2024-05-26T00:00:00"/>
        <d v="2024-04-16T00:00:00"/>
        <d v="2023-04-20T00:00:00"/>
        <d v="2024-12-21T00:00:00"/>
        <d v="2022-05-21T00:00:00"/>
        <d v="2023-04-27T00:00:00"/>
        <d v="2022-07-10T00:00:00"/>
        <d v="2025-11-08T00:00:00"/>
        <d v="2023-06-21T00:00:00"/>
        <d v="2025-01-18T00:00:00"/>
        <d v="2023-03-17T00:00:00"/>
        <d v="2024-10-04T00:00:00"/>
        <d v="2025-12-07T00:00:00"/>
        <d v="2025-07-26T00:00:00"/>
        <d v="2025-12-06T00:00:00"/>
        <d v="2022-01-06T00:00:00"/>
        <d v="2024-09-12T00:00:00"/>
        <d v="2022-04-09T00:00:00"/>
        <d v="2025-03-04T00:00:00"/>
        <d v="2023-04-07T00:00:00"/>
        <d v="2025-08-10T00:00:00"/>
        <d v="2025-03-14T00:00:00"/>
        <d v="2025-11-24T00:00:00"/>
        <d v="2025-05-17T00:00:00"/>
        <d v="2022-09-10T00:00:00"/>
        <d v="2025-09-30T00:00:00"/>
        <d v="2022-01-03T00:00:00"/>
        <d v="2023-03-04T00:00:00"/>
        <d v="2022-05-15T00:00:00"/>
        <d v="2022-01-31T00:00:00"/>
        <d v="2024-11-03T00:00:00"/>
        <d v="2025-04-13T00:00:00"/>
        <d v="2024-02-13T00:00:00"/>
        <d v="2024-05-05T00:00:00"/>
        <d v="2024-02-05T00:00:00"/>
        <d v="2025-06-12T00:00:00"/>
        <d v="2023-10-12T00:00:00"/>
        <d v="2024-07-25T00:00:00"/>
        <d v="2022-01-01T00:00:00"/>
        <d v="2024-06-28T00:00:00"/>
        <d v="2025-09-08T00:00:00"/>
        <d v="2025-08-02T00:00:00"/>
        <d v="2024-07-12T00:00:00"/>
        <d v="2023-05-12T00:00:00"/>
        <d v="2022-12-12T00:00:00"/>
        <d v="2023-01-05T00:00:00"/>
        <d v="2023-10-30T00:00:00"/>
        <d v="2023-08-01T00:00:00"/>
        <d v="2025-02-21T00:00:00"/>
        <d v="2023-03-05T00:00:00"/>
        <d v="2022-11-18T00:00:00"/>
        <d v="2023-06-13T00:00:00"/>
        <d v="2023-10-11T00:00:00"/>
        <d v="2024-09-29T00:00:00"/>
        <d v="2025-05-16T00:00:00"/>
        <d v="2025-04-07T00:00:00"/>
        <d v="2023-08-23T00:00:00"/>
        <d v="2024-12-27T00:00:00"/>
        <d v="2025-09-02T00:00:00"/>
        <d v="2022-07-29T00:00:00"/>
        <d v="2023-05-01T00:00:00"/>
        <d v="2024-05-11T00:00:00"/>
        <d v="2022-01-17T00:00:00"/>
        <d v="2024-06-02T00:00:00"/>
        <d v="2025-11-23T00:00:00"/>
        <d v="2024-06-01T00:00:00"/>
        <d v="2023-04-25T00:00:00"/>
        <d v="2023-09-19T00:00:00"/>
        <d v="2022-10-17T00:00:00"/>
        <d v="2024-01-03T00:00:00"/>
        <d v="2024-01-06T00:00:00"/>
        <d v="2023-05-15T00:00:00"/>
        <d v="2024-08-15T00:00:00"/>
        <d v="2024-11-06T00:00:00"/>
        <d v="2022-06-15T00:00:00"/>
        <d v="2023-07-17T00:00:00"/>
        <d v="2022-04-18T00:00:00"/>
        <d v="2024-06-06T00:00:00"/>
        <d v="2024-01-27T00:00:00"/>
        <d v="2024-01-21T00:00:00"/>
        <d v="2024-03-21T00:00:00"/>
        <d v="2023-02-24T00:00:00"/>
        <d v="2024-10-10T00:00:00"/>
        <d v="2024-12-24T00:00:00"/>
        <d v="2023-09-25T00:00:00"/>
        <d v="2023-03-18T00:00:00"/>
        <d v="2024-11-14T00:00:00"/>
        <d v="2025-08-03T00:00:00"/>
        <d v="2024-11-24T00:00:00"/>
        <d v="2024-03-07T00:00:00"/>
        <d v="2025-05-29T00:00:00"/>
        <d v="2022-05-23T00:00:00"/>
        <d v="2023-01-17T00:00:00"/>
        <d v="2024-06-22T00:00:00"/>
        <d v="2022-11-26T00:00:00"/>
        <d v="2024-11-12T00:00:00"/>
        <d v="2023-03-16T00:00:00"/>
        <d v="2022-12-05T00:00:00"/>
        <d v="2025-04-21T00:00:00"/>
        <d v="2022-11-21T00:00:00"/>
        <d v="2022-05-01T00:00:00"/>
        <d v="2022-10-15T00:00:00"/>
        <d v="2023-05-05T00:00:00"/>
        <d v="2023-02-15T00:00:00"/>
        <d v="2024-06-18T00:00:00"/>
        <d v="2025-12-01T00:00:00"/>
        <d v="2024-09-04T00:00:00"/>
        <d v="2024-07-10T00:00:00"/>
        <d v="2024-08-12T00:00:00"/>
        <d v="2023-06-27T00:00:00"/>
        <d v="2022-03-21T00:00:00"/>
        <d v="2024-12-23T00:00:00"/>
        <d v="2024-03-25T00:00:00"/>
        <d v="2025-03-28T00:00:00"/>
        <d v="2024-10-13T00:00:00"/>
        <d v="2024-05-22T00:00:00"/>
        <d v="2024-02-08T00:00:00"/>
        <d v="2022-08-08T00:00:00"/>
        <d v="2024-05-31T00:00:00"/>
        <d v="2022-11-06T00:00:00"/>
        <d v="2025-12-02T00:00:00"/>
        <d v="2025-11-07T00:00:00"/>
        <d v="2025-09-03T00:00:00"/>
        <d v="2025-12-09T00:00:00"/>
        <d v="2022-12-29T00:00:00"/>
        <d v="2022-07-07T00:00:00"/>
        <d v="2023-06-24T00:00:00"/>
        <d v="2022-11-30T00:00:00"/>
        <d v="2022-02-15T00:00:00"/>
        <d v="2023-05-27T00:00:00"/>
        <d v="2024-09-17T00:00:00"/>
        <d v="2022-10-16T00:00:00"/>
        <d v="2023-02-21T00:00:00"/>
        <d v="2023-08-22T00:00:00"/>
        <d v="2023-04-21T00:00:00"/>
        <d v="2025-06-17T00:00:00"/>
        <d v="2024-12-25T00:00:00"/>
        <d v="2024-12-30T00:00:00"/>
        <d v="2025-08-14T00:00:00"/>
        <d v="2023-09-13T00:00:00"/>
        <d v="2024-04-26T00:00:00"/>
        <d v="2022-06-12T00:00:00"/>
        <d v="2023-06-29T00:00:00"/>
        <d v="2023-08-20T00:00:00"/>
        <d v="2025-01-23T00:00:00"/>
        <d v="2022-09-18T00:00:00"/>
        <d v="2023-05-22T00:00:00"/>
        <d v="2023-12-25T00:00:00"/>
        <d v="2023-08-15T00:00:00"/>
        <d v="2024-11-20T00:00:00"/>
        <d v="2025-01-09T00:00:00"/>
        <d v="2025-01-06T00:00:00"/>
        <d v="2024-07-31T00:00:00"/>
        <d v="2024-12-19T00:00:00"/>
        <d v="2024-03-17T00:00:00"/>
        <d v="2022-09-19T00:00:00"/>
        <m/>
      </sharedItems>
      <fieldGroup par="22"/>
    </cacheField>
    <cacheField name="Year" numFmtId="0">
      <sharedItems containsString="0" containsBlank="1" containsNumber="1" containsInteger="1" minValue="2022" maxValue="2025"/>
    </cacheField>
    <cacheField name="Month" numFmtId="0">
      <sharedItems containsBlank="1"/>
    </cacheField>
    <cacheField name="Region" numFmtId="0">
      <sharedItems containsBlank="1" count="5">
        <s v="West"/>
        <s v="East"/>
        <s v="North"/>
        <s v="South"/>
        <m/>
      </sharedItems>
    </cacheField>
    <cacheField name="City_Tier" numFmtId="0">
      <sharedItems containsBlank="1" count="4">
        <s v="Tier 3"/>
        <s v="Tier 2"/>
        <s v="Tier 1"/>
        <m/>
      </sharedItems>
    </cacheField>
    <cacheField name="Age" numFmtId="0">
      <sharedItems containsString="0" containsBlank="1" containsNumber="1" containsInteger="1" minValue="18" maxValue="55"/>
    </cacheField>
    <cacheField name="Gender" numFmtId="0">
      <sharedItems containsBlank="1" count="3">
        <s v="Male"/>
        <s v="Female"/>
        <m/>
      </sharedItems>
    </cacheField>
    <cacheField name="Subscription_Plan" numFmtId="0">
      <sharedItems containsBlank="1" count="4">
        <s v="Standard"/>
        <s v="Basic"/>
        <s v="Premium"/>
        <m/>
      </sharedItems>
    </cacheField>
    <cacheField name="Monthly_ARPU_INR" numFmtId="164">
      <sharedItems containsString="0" containsBlank="1" containsNumber="1" containsInteger="1" minValue="199" maxValue="649"/>
    </cacheField>
    <cacheField name="Preferred_Genre" numFmtId="0">
      <sharedItems containsBlank="1" count="10">
        <s v="Comedy"/>
        <s v="Documentary"/>
        <s v="Crime"/>
        <s v="Anime"/>
        <s v="Drama"/>
        <s v="Thriller"/>
        <s v="Action"/>
        <s v="Sci-Fi"/>
        <s v="Romance"/>
        <m/>
      </sharedItems>
    </cacheField>
    <cacheField name="Avg_Watch_Hours_Per_Month" numFmtId="0">
      <sharedItems containsString="0" containsBlank="1" containsNumber="1" containsInteger="1" minValue="20" maxValue="60"/>
    </cacheField>
    <cacheField name="Device_Type" numFmtId="0">
      <sharedItems containsBlank="1" count="5">
        <s v="Laptop"/>
        <s v="Tablet"/>
        <s v="Smart TV"/>
        <s v="Mobile"/>
        <m/>
      </sharedItems>
    </cacheField>
    <cacheField name="Payment_Method" numFmtId="0">
      <sharedItems containsBlank="1" count="5">
        <s v="UPI"/>
        <s v="Debit Card"/>
        <s v="Net Banking"/>
        <s v="Credit Card"/>
        <m/>
      </sharedItems>
    </cacheField>
    <cacheField name="Tenure_Months" numFmtId="0">
      <sharedItems containsString="0" containsBlank="1" containsNumber="1" containsInteger="1" minValue="1" maxValue="48"/>
    </cacheField>
    <cacheField name="Is_Churned" numFmtId="0">
      <sharedItems containsBlank="1" count="3">
        <s v="No"/>
        <s v="Yes"/>
        <m/>
      </sharedItems>
    </cacheField>
    <cacheField name="Satisfaction_Score" numFmtId="0">
      <sharedItems containsString="0" containsBlank="1" containsNumber="1" containsInteger="1" minValue="2" maxValue="5" count="5">
        <n v="5"/>
        <n v="3"/>
        <n v="4"/>
        <n v="2"/>
        <m/>
      </sharedItems>
    </cacheField>
    <cacheField name="Monthly_Revenue_INR" numFmtId="164">
      <sharedItems containsString="0" containsBlank="1" containsNumber="1" containsInteger="1" minValue="0" maxValue="649"/>
    </cacheField>
    <cacheField name="age group" numFmtId="0">
      <sharedItems containsBlank="1" count="6">
        <s v="Mature viewer"/>
        <s v="Genz viewer"/>
        <s v="Young Professionals"/>
        <s v="mid career adult"/>
        <s v="senior viewer"/>
        <m/>
      </sharedItems>
    </cacheField>
    <cacheField name="timespend" numFmtId="0">
      <sharedItems containsBlank="1" count="5">
        <s v="Regular Viewer"/>
        <s v="Engaged Viewer"/>
        <s v="Casual Viewer"/>
        <s v="Binge watcher"/>
        <m/>
      </sharedItems>
    </cacheField>
    <cacheField name="Months (Subscription_Date)" numFmtId="0" databaseField="0">
      <fieldGroup base="1">
        <rangePr groupBy="months" startDate="2022-01-01T00:00:00" endDate="2026-01-01T00:00:00"/>
        <groupItems count="14">
          <s v="&lt;01-01-2022"/>
          <s v="Jan"/>
          <s v="Feb"/>
          <s v="Mar"/>
          <s v="Apr"/>
          <s v="May"/>
          <s v="Jun"/>
          <s v="Jul"/>
          <s v="Aug"/>
          <s v="Sep"/>
          <s v="Oct"/>
          <s v="Nov"/>
          <s v="Dec"/>
          <s v="&gt;01-01-2026"/>
        </groupItems>
      </fieldGroup>
    </cacheField>
    <cacheField name="Quarters (Subscription_Date)" numFmtId="0" databaseField="0">
      <fieldGroup base="1">
        <rangePr groupBy="quarters" startDate="2022-01-01T00:00:00" endDate="2026-01-01T00:00:00"/>
        <groupItems count="6">
          <s v="&lt;01-01-2022"/>
          <s v="Qtr1"/>
          <s v="Qtr2"/>
          <s v="Qtr3"/>
          <s v="Qtr4"/>
          <s v="&gt;01-01-2026"/>
        </groupItems>
      </fieldGroup>
    </cacheField>
    <cacheField name="Years (Subscription_Date)" numFmtId="0" databaseField="0">
      <fieldGroup base="1">
        <rangePr groupBy="years" startDate="2022-01-01T00:00:00" endDate="2026-01-01T00:00:00"/>
        <groupItems count="7">
          <s v="&lt;01-01-2022"/>
          <s v="2022"/>
          <s v="2023"/>
          <s v="2024"/>
          <s v="2025"/>
          <s v="2026"/>
          <s v="&gt;01-01-2026"/>
        </groupItems>
      </fieldGroup>
    </cacheField>
  </cacheFields>
  <extLst>
    <ext xmlns:x14="http://schemas.microsoft.com/office/spreadsheetml/2009/9/main" uri="{725AE2AE-9491-48be-B2B4-4EB974FC3084}">
      <x14:pivotCacheDefinition pivotCacheId="1184916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x v="0"/>
    <x v="0"/>
    <n v="2025"/>
    <s v="Nov"/>
    <x v="0"/>
    <x v="0"/>
    <n v="51"/>
    <x v="0"/>
    <x v="0"/>
    <n v="499"/>
    <x v="0"/>
    <n v="24"/>
    <x v="0"/>
    <x v="0"/>
    <n v="32"/>
    <x v="0"/>
    <x v="0"/>
    <n v="499"/>
    <x v="0"/>
    <x v="0"/>
  </r>
  <r>
    <x v="1"/>
    <x v="1"/>
    <n v="2025"/>
    <s v="Nov"/>
    <x v="0"/>
    <x v="1"/>
    <n v="19"/>
    <x v="0"/>
    <x v="0"/>
    <n v="499"/>
    <x v="1"/>
    <n v="29"/>
    <x v="1"/>
    <x v="1"/>
    <n v="14"/>
    <x v="0"/>
    <x v="1"/>
    <n v="499"/>
    <x v="1"/>
    <x v="0"/>
  </r>
  <r>
    <x v="2"/>
    <x v="2"/>
    <n v="2025"/>
    <s v="Aug"/>
    <x v="1"/>
    <x v="1"/>
    <n v="47"/>
    <x v="1"/>
    <x v="1"/>
    <n v="199"/>
    <x v="1"/>
    <n v="44"/>
    <x v="0"/>
    <x v="1"/>
    <n v="29"/>
    <x v="0"/>
    <x v="0"/>
    <n v="199"/>
    <x v="0"/>
    <x v="1"/>
  </r>
  <r>
    <x v="3"/>
    <x v="3"/>
    <n v="2023"/>
    <s v="Dec"/>
    <x v="1"/>
    <x v="0"/>
    <n v="19"/>
    <x v="0"/>
    <x v="0"/>
    <n v="499"/>
    <x v="2"/>
    <n v="33"/>
    <x v="2"/>
    <x v="1"/>
    <n v="7"/>
    <x v="0"/>
    <x v="2"/>
    <n v="499"/>
    <x v="1"/>
    <x v="0"/>
  </r>
  <r>
    <x v="4"/>
    <x v="4"/>
    <n v="2023"/>
    <s v="Aug"/>
    <x v="2"/>
    <x v="1"/>
    <n v="18"/>
    <x v="0"/>
    <x v="0"/>
    <n v="499"/>
    <x v="3"/>
    <n v="20"/>
    <x v="3"/>
    <x v="0"/>
    <n v="43"/>
    <x v="0"/>
    <x v="2"/>
    <n v="499"/>
    <x v="1"/>
    <x v="2"/>
  </r>
  <r>
    <x v="5"/>
    <x v="5"/>
    <n v="2025"/>
    <s v="Oct"/>
    <x v="1"/>
    <x v="1"/>
    <n v="33"/>
    <x v="1"/>
    <x v="2"/>
    <n v="649"/>
    <x v="4"/>
    <n v="40"/>
    <x v="2"/>
    <x v="0"/>
    <n v="36"/>
    <x v="0"/>
    <x v="1"/>
    <n v="649"/>
    <x v="2"/>
    <x v="1"/>
  </r>
  <r>
    <x v="6"/>
    <x v="6"/>
    <n v="2025"/>
    <s v="Apr"/>
    <x v="3"/>
    <x v="1"/>
    <n v="43"/>
    <x v="0"/>
    <x v="0"/>
    <n v="499"/>
    <x v="5"/>
    <n v="42"/>
    <x v="3"/>
    <x v="1"/>
    <n v="32"/>
    <x v="0"/>
    <x v="1"/>
    <n v="499"/>
    <x v="3"/>
    <x v="1"/>
  </r>
  <r>
    <x v="7"/>
    <x v="7"/>
    <n v="2023"/>
    <s v="Nov"/>
    <x v="3"/>
    <x v="0"/>
    <n v="23"/>
    <x v="1"/>
    <x v="1"/>
    <n v="199"/>
    <x v="2"/>
    <n v="27"/>
    <x v="1"/>
    <x v="2"/>
    <n v="36"/>
    <x v="0"/>
    <x v="2"/>
    <n v="199"/>
    <x v="1"/>
    <x v="0"/>
  </r>
  <r>
    <x v="8"/>
    <x v="8"/>
    <n v="2023"/>
    <s v="Nov"/>
    <x v="0"/>
    <x v="0"/>
    <n v="34"/>
    <x v="1"/>
    <x v="1"/>
    <n v="199"/>
    <x v="6"/>
    <n v="50"/>
    <x v="1"/>
    <x v="3"/>
    <n v="12"/>
    <x v="0"/>
    <x v="1"/>
    <n v="199"/>
    <x v="2"/>
    <x v="1"/>
  </r>
  <r>
    <x v="9"/>
    <x v="9"/>
    <n v="2024"/>
    <s v="Sep"/>
    <x v="1"/>
    <x v="0"/>
    <n v="40"/>
    <x v="1"/>
    <x v="2"/>
    <n v="649"/>
    <x v="0"/>
    <n v="30"/>
    <x v="2"/>
    <x v="3"/>
    <n v="22"/>
    <x v="0"/>
    <x v="0"/>
    <n v="649"/>
    <x v="3"/>
    <x v="0"/>
  </r>
  <r>
    <x v="10"/>
    <x v="10"/>
    <n v="2023"/>
    <s v="Jan"/>
    <x v="2"/>
    <x v="2"/>
    <n v="27"/>
    <x v="0"/>
    <x v="1"/>
    <n v="199"/>
    <x v="1"/>
    <n v="44"/>
    <x v="1"/>
    <x v="0"/>
    <n v="23"/>
    <x v="0"/>
    <x v="2"/>
    <n v="199"/>
    <x v="2"/>
    <x v="1"/>
  </r>
  <r>
    <x v="11"/>
    <x v="11"/>
    <n v="2023"/>
    <s v="Aug"/>
    <x v="2"/>
    <x v="1"/>
    <n v="50"/>
    <x v="1"/>
    <x v="1"/>
    <n v="199"/>
    <x v="6"/>
    <n v="26"/>
    <x v="1"/>
    <x v="2"/>
    <n v="12"/>
    <x v="0"/>
    <x v="2"/>
    <n v="199"/>
    <x v="0"/>
    <x v="0"/>
  </r>
  <r>
    <x v="12"/>
    <x v="12"/>
    <n v="2024"/>
    <s v="Mar"/>
    <x v="2"/>
    <x v="0"/>
    <n v="40"/>
    <x v="0"/>
    <x v="1"/>
    <n v="199"/>
    <x v="7"/>
    <n v="27"/>
    <x v="1"/>
    <x v="2"/>
    <n v="46"/>
    <x v="0"/>
    <x v="1"/>
    <n v="199"/>
    <x v="3"/>
    <x v="0"/>
  </r>
  <r>
    <x v="13"/>
    <x v="13"/>
    <n v="2024"/>
    <s v="Jun"/>
    <x v="1"/>
    <x v="2"/>
    <n v="24"/>
    <x v="0"/>
    <x v="1"/>
    <n v="199"/>
    <x v="2"/>
    <n v="53"/>
    <x v="2"/>
    <x v="3"/>
    <n v="44"/>
    <x v="0"/>
    <x v="0"/>
    <n v="199"/>
    <x v="1"/>
    <x v="3"/>
  </r>
  <r>
    <x v="14"/>
    <x v="14"/>
    <n v="2024"/>
    <s v="Aug"/>
    <x v="0"/>
    <x v="2"/>
    <n v="41"/>
    <x v="0"/>
    <x v="2"/>
    <n v="649"/>
    <x v="1"/>
    <n v="27"/>
    <x v="0"/>
    <x v="1"/>
    <n v="7"/>
    <x v="0"/>
    <x v="1"/>
    <n v="649"/>
    <x v="3"/>
    <x v="0"/>
  </r>
  <r>
    <x v="15"/>
    <x v="15"/>
    <n v="2022"/>
    <s v="Jan"/>
    <x v="1"/>
    <x v="1"/>
    <n v="39"/>
    <x v="1"/>
    <x v="0"/>
    <n v="499"/>
    <x v="4"/>
    <n v="23"/>
    <x v="0"/>
    <x v="2"/>
    <n v="30"/>
    <x v="0"/>
    <x v="2"/>
    <n v="499"/>
    <x v="3"/>
    <x v="0"/>
  </r>
  <r>
    <x v="16"/>
    <x v="16"/>
    <n v="2025"/>
    <s v="Nov"/>
    <x v="0"/>
    <x v="0"/>
    <n v="19"/>
    <x v="0"/>
    <x v="1"/>
    <n v="199"/>
    <x v="2"/>
    <n v="33"/>
    <x v="2"/>
    <x v="0"/>
    <n v="38"/>
    <x v="1"/>
    <x v="3"/>
    <n v="0"/>
    <x v="1"/>
    <x v="0"/>
  </r>
  <r>
    <x v="17"/>
    <x v="17"/>
    <n v="2022"/>
    <s v="Nov"/>
    <x v="3"/>
    <x v="2"/>
    <n v="28"/>
    <x v="0"/>
    <x v="2"/>
    <n v="649"/>
    <x v="8"/>
    <n v="37"/>
    <x v="3"/>
    <x v="0"/>
    <n v="28"/>
    <x v="0"/>
    <x v="1"/>
    <n v="649"/>
    <x v="2"/>
    <x v="1"/>
  </r>
  <r>
    <x v="18"/>
    <x v="18"/>
    <n v="2022"/>
    <s v="Sep"/>
    <x v="2"/>
    <x v="0"/>
    <n v="54"/>
    <x v="0"/>
    <x v="0"/>
    <n v="499"/>
    <x v="1"/>
    <n v="47"/>
    <x v="0"/>
    <x v="0"/>
    <n v="25"/>
    <x v="0"/>
    <x v="2"/>
    <n v="499"/>
    <x v="0"/>
    <x v="1"/>
  </r>
  <r>
    <x v="19"/>
    <x v="19"/>
    <n v="2022"/>
    <s v="Apr"/>
    <x v="1"/>
    <x v="2"/>
    <n v="51"/>
    <x v="0"/>
    <x v="0"/>
    <n v="499"/>
    <x v="3"/>
    <n v="34"/>
    <x v="3"/>
    <x v="3"/>
    <n v="16"/>
    <x v="0"/>
    <x v="1"/>
    <n v="499"/>
    <x v="0"/>
    <x v="0"/>
  </r>
  <r>
    <x v="20"/>
    <x v="20"/>
    <n v="2022"/>
    <s v="May"/>
    <x v="3"/>
    <x v="2"/>
    <n v="37"/>
    <x v="0"/>
    <x v="1"/>
    <n v="199"/>
    <x v="4"/>
    <n v="52"/>
    <x v="3"/>
    <x v="2"/>
    <n v="38"/>
    <x v="0"/>
    <x v="2"/>
    <n v="199"/>
    <x v="3"/>
    <x v="3"/>
  </r>
  <r>
    <x v="21"/>
    <x v="21"/>
    <n v="2022"/>
    <s v="Mar"/>
    <x v="1"/>
    <x v="2"/>
    <n v="20"/>
    <x v="0"/>
    <x v="1"/>
    <n v="199"/>
    <x v="0"/>
    <n v="28"/>
    <x v="3"/>
    <x v="3"/>
    <n v="3"/>
    <x v="0"/>
    <x v="1"/>
    <n v="199"/>
    <x v="1"/>
    <x v="0"/>
  </r>
  <r>
    <x v="22"/>
    <x v="22"/>
    <n v="2023"/>
    <s v="Dec"/>
    <x v="3"/>
    <x v="2"/>
    <n v="29"/>
    <x v="1"/>
    <x v="0"/>
    <n v="499"/>
    <x v="8"/>
    <n v="26"/>
    <x v="1"/>
    <x v="2"/>
    <n v="1"/>
    <x v="0"/>
    <x v="2"/>
    <n v="499"/>
    <x v="2"/>
    <x v="0"/>
  </r>
  <r>
    <x v="23"/>
    <x v="23"/>
    <n v="2024"/>
    <s v="Oct"/>
    <x v="0"/>
    <x v="2"/>
    <n v="35"/>
    <x v="0"/>
    <x v="1"/>
    <n v="199"/>
    <x v="0"/>
    <n v="26"/>
    <x v="1"/>
    <x v="2"/>
    <n v="39"/>
    <x v="0"/>
    <x v="2"/>
    <n v="199"/>
    <x v="3"/>
    <x v="0"/>
  </r>
  <r>
    <x v="24"/>
    <x v="24"/>
    <n v="2024"/>
    <s v="Aug"/>
    <x v="1"/>
    <x v="2"/>
    <n v="38"/>
    <x v="0"/>
    <x v="0"/>
    <n v="499"/>
    <x v="6"/>
    <n v="48"/>
    <x v="3"/>
    <x v="1"/>
    <n v="37"/>
    <x v="0"/>
    <x v="1"/>
    <n v="499"/>
    <x v="3"/>
    <x v="1"/>
  </r>
  <r>
    <x v="25"/>
    <x v="25"/>
    <n v="2022"/>
    <s v="Jul"/>
    <x v="2"/>
    <x v="1"/>
    <n v="45"/>
    <x v="0"/>
    <x v="0"/>
    <n v="499"/>
    <x v="4"/>
    <n v="36"/>
    <x v="3"/>
    <x v="2"/>
    <n v="16"/>
    <x v="0"/>
    <x v="0"/>
    <n v="499"/>
    <x v="0"/>
    <x v="1"/>
  </r>
  <r>
    <x v="26"/>
    <x v="26"/>
    <n v="2023"/>
    <s v="Apr"/>
    <x v="0"/>
    <x v="2"/>
    <n v="20"/>
    <x v="0"/>
    <x v="1"/>
    <n v="199"/>
    <x v="5"/>
    <n v="37"/>
    <x v="2"/>
    <x v="2"/>
    <n v="25"/>
    <x v="0"/>
    <x v="2"/>
    <n v="199"/>
    <x v="1"/>
    <x v="1"/>
  </r>
  <r>
    <x v="27"/>
    <x v="27"/>
    <n v="2022"/>
    <s v="Oct"/>
    <x v="1"/>
    <x v="2"/>
    <n v="29"/>
    <x v="1"/>
    <x v="2"/>
    <n v="649"/>
    <x v="6"/>
    <n v="37"/>
    <x v="2"/>
    <x v="2"/>
    <n v="7"/>
    <x v="0"/>
    <x v="0"/>
    <n v="649"/>
    <x v="2"/>
    <x v="1"/>
  </r>
  <r>
    <x v="28"/>
    <x v="28"/>
    <n v="2024"/>
    <s v="Aug"/>
    <x v="0"/>
    <x v="0"/>
    <n v="34"/>
    <x v="1"/>
    <x v="1"/>
    <n v="199"/>
    <x v="5"/>
    <n v="44"/>
    <x v="1"/>
    <x v="3"/>
    <n v="33"/>
    <x v="0"/>
    <x v="1"/>
    <n v="199"/>
    <x v="2"/>
    <x v="1"/>
  </r>
  <r>
    <x v="29"/>
    <x v="29"/>
    <n v="2023"/>
    <s v="Apr"/>
    <x v="3"/>
    <x v="0"/>
    <n v="50"/>
    <x v="0"/>
    <x v="1"/>
    <n v="199"/>
    <x v="1"/>
    <n v="35"/>
    <x v="3"/>
    <x v="3"/>
    <n v="1"/>
    <x v="0"/>
    <x v="2"/>
    <n v="199"/>
    <x v="0"/>
    <x v="0"/>
  </r>
  <r>
    <x v="30"/>
    <x v="30"/>
    <n v="2023"/>
    <s v="Oct"/>
    <x v="3"/>
    <x v="2"/>
    <n v="40"/>
    <x v="1"/>
    <x v="0"/>
    <n v="499"/>
    <x v="5"/>
    <n v="30"/>
    <x v="2"/>
    <x v="3"/>
    <n v="30"/>
    <x v="0"/>
    <x v="2"/>
    <n v="499"/>
    <x v="3"/>
    <x v="0"/>
  </r>
  <r>
    <x v="31"/>
    <x v="31"/>
    <n v="2024"/>
    <s v="Dec"/>
    <x v="2"/>
    <x v="2"/>
    <n v="32"/>
    <x v="1"/>
    <x v="0"/>
    <n v="499"/>
    <x v="4"/>
    <n v="54"/>
    <x v="2"/>
    <x v="0"/>
    <n v="45"/>
    <x v="0"/>
    <x v="0"/>
    <n v="499"/>
    <x v="2"/>
    <x v="3"/>
  </r>
  <r>
    <x v="32"/>
    <x v="32"/>
    <n v="2025"/>
    <s v="Dec"/>
    <x v="1"/>
    <x v="0"/>
    <n v="18"/>
    <x v="1"/>
    <x v="0"/>
    <n v="499"/>
    <x v="6"/>
    <n v="38"/>
    <x v="0"/>
    <x v="1"/>
    <n v="36"/>
    <x v="0"/>
    <x v="2"/>
    <n v="499"/>
    <x v="1"/>
    <x v="1"/>
  </r>
  <r>
    <x v="33"/>
    <x v="33"/>
    <n v="2025"/>
    <s v="May"/>
    <x v="2"/>
    <x v="2"/>
    <n v="55"/>
    <x v="0"/>
    <x v="2"/>
    <n v="649"/>
    <x v="5"/>
    <n v="41"/>
    <x v="2"/>
    <x v="3"/>
    <n v="16"/>
    <x v="0"/>
    <x v="1"/>
    <n v="649"/>
    <x v="4"/>
    <x v="1"/>
  </r>
  <r>
    <x v="34"/>
    <x v="34"/>
    <n v="2025"/>
    <s v="Oct"/>
    <x v="3"/>
    <x v="2"/>
    <n v="19"/>
    <x v="1"/>
    <x v="1"/>
    <n v="199"/>
    <x v="8"/>
    <n v="49"/>
    <x v="1"/>
    <x v="2"/>
    <n v="8"/>
    <x v="0"/>
    <x v="2"/>
    <n v="199"/>
    <x v="1"/>
    <x v="1"/>
  </r>
  <r>
    <x v="35"/>
    <x v="35"/>
    <n v="2023"/>
    <s v="Nov"/>
    <x v="1"/>
    <x v="0"/>
    <n v="51"/>
    <x v="1"/>
    <x v="0"/>
    <n v="499"/>
    <x v="1"/>
    <n v="40"/>
    <x v="2"/>
    <x v="3"/>
    <n v="44"/>
    <x v="0"/>
    <x v="2"/>
    <n v="499"/>
    <x v="0"/>
    <x v="1"/>
  </r>
  <r>
    <x v="36"/>
    <x v="36"/>
    <n v="2024"/>
    <s v="Jul"/>
    <x v="3"/>
    <x v="2"/>
    <n v="48"/>
    <x v="1"/>
    <x v="0"/>
    <n v="499"/>
    <x v="6"/>
    <n v="58"/>
    <x v="3"/>
    <x v="1"/>
    <n v="16"/>
    <x v="0"/>
    <x v="1"/>
    <n v="499"/>
    <x v="0"/>
    <x v="3"/>
  </r>
  <r>
    <x v="37"/>
    <x v="37"/>
    <n v="2024"/>
    <s v="Apr"/>
    <x v="1"/>
    <x v="1"/>
    <n v="51"/>
    <x v="0"/>
    <x v="1"/>
    <n v="199"/>
    <x v="0"/>
    <n v="43"/>
    <x v="1"/>
    <x v="1"/>
    <n v="27"/>
    <x v="0"/>
    <x v="2"/>
    <n v="199"/>
    <x v="0"/>
    <x v="1"/>
  </r>
  <r>
    <x v="38"/>
    <x v="38"/>
    <n v="2023"/>
    <s v="Oct"/>
    <x v="3"/>
    <x v="0"/>
    <n v="49"/>
    <x v="0"/>
    <x v="0"/>
    <n v="499"/>
    <x v="1"/>
    <n v="45"/>
    <x v="1"/>
    <x v="0"/>
    <n v="2"/>
    <x v="0"/>
    <x v="2"/>
    <n v="499"/>
    <x v="0"/>
    <x v="1"/>
  </r>
  <r>
    <x v="39"/>
    <x v="39"/>
    <n v="2024"/>
    <s v="Aug"/>
    <x v="0"/>
    <x v="0"/>
    <n v="49"/>
    <x v="0"/>
    <x v="1"/>
    <n v="199"/>
    <x v="7"/>
    <n v="37"/>
    <x v="1"/>
    <x v="1"/>
    <n v="48"/>
    <x v="0"/>
    <x v="0"/>
    <n v="199"/>
    <x v="0"/>
    <x v="1"/>
  </r>
  <r>
    <x v="40"/>
    <x v="40"/>
    <n v="2025"/>
    <s v="Dec"/>
    <x v="2"/>
    <x v="1"/>
    <n v="18"/>
    <x v="0"/>
    <x v="2"/>
    <n v="649"/>
    <x v="3"/>
    <n v="30"/>
    <x v="3"/>
    <x v="2"/>
    <n v="2"/>
    <x v="0"/>
    <x v="0"/>
    <n v="649"/>
    <x v="1"/>
    <x v="0"/>
  </r>
  <r>
    <x v="41"/>
    <x v="41"/>
    <n v="2023"/>
    <s v="Jul"/>
    <x v="0"/>
    <x v="2"/>
    <n v="29"/>
    <x v="0"/>
    <x v="2"/>
    <n v="649"/>
    <x v="4"/>
    <n v="50"/>
    <x v="0"/>
    <x v="1"/>
    <n v="38"/>
    <x v="0"/>
    <x v="2"/>
    <n v="649"/>
    <x v="2"/>
    <x v="1"/>
  </r>
  <r>
    <x v="42"/>
    <x v="42"/>
    <n v="2025"/>
    <s v="Mar"/>
    <x v="1"/>
    <x v="1"/>
    <n v="52"/>
    <x v="0"/>
    <x v="1"/>
    <n v="199"/>
    <x v="8"/>
    <n v="52"/>
    <x v="3"/>
    <x v="2"/>
    <n v="21"/>
    <x v="1"/>
    <x v="0"/>
    <n v="0"/>
    <x v="0"/>
    <x v="3"/>
  </r>
  <r>
    <x v="43"/>
    <x v="43"/>
    <n v="2022"/>
    <s v="May"/>
    <x v="2"/>
    <x v="2"/>
    <n v="49"/>
    <x v="0"/>
    <x v="2"/>
    <n v="649"/>
    <x v="3"/>
    <n v="45"/>
    <x v="3"/>
    <x v="1"/>
    <n v="41"/>
    <x v="0"/>
    <x v="1"/>
    <n v="649"/>
    <x v="0"/>
    <x v="1"/>
  </r>
  <r>
    <x v="44"/>
    <x v="44"/>
    <n v="2023"/>
    <s v="Jan"/>
    <x v="1"/>
    <x v="1"/>
    <n v="27"/>
    <x v="1"/>
    <x v="1"/>
    <n v="199"/>
    <x v="3"/>
    <n v="58"/>
    <x v="2"/>
    <x v="2"/>
    <n v="26"/>
    <x v="1"/>
    <x v="0"/>
    <n v="0"/>
    <x v="2"/>
    <x v="3"/>
  </r>
  <r>
    <x v="45"/>
    <x v="45"/>
    <n v="2022"/>
    <s v="Jun"/>
    <x v="2"/>
    <x v="1"/>
    <n v="34"/>
    <x v="0"/>
    <x v="1"/>
    <n v="199"/>
    <x v="2"/>
    <n v="33"/>
    <x v="0"/>
    <x v="0"/>
    <n v="16"/>
    <x v="1"/>
    <x v="2"/>
    <n v="0"/>
    <x v="2"/>
    <x v="0"/>
  </r>
  <r>
    <x v="46"/>
    <x v="46"/>
    <n v="2024"/>
    <s v="May"/>
    <x v="2"/>
    <x v="1"/>
    <n v="38"/>
    <x v="1"/>
    <x v="2"/>
    <n v="649"/>
    <x v="8"/>
    <n v="56"/>
    <x v="1"/>
    <x v="0"/>
    <n v="42"/>
    <x v="0"/>
    <x v="1"/>
    <n v="649"/>
    <x v="3"/>
    <x v="3"/>
  </r>
  <r>
    <x v="47"/>
    <x v="47"/>
    <n v="2023"/>
    <s v="Jun"/>
    <x v="1"/>
    <x v="1"/>
    <n v="42"/>
    <x v="0"/>
    <x v="1"/>
    <n v="199"/>
    <x v="3"/>
    <n v="51"/>
    <x v="0"/>
    <x v="1"/>
    <n v="9"/>
    <x v="0"/>
    <x v="2"/>
    <n v="199"/>
    <x v="3"/>
    <x v="3"/>
  </r>
  <r>
    <x v="48"/>
    <x v="48"/>
    <n v="2025"/>
    <s v="Dec"/>
    <x v="0"/>
    <x v="0"/>
    <n v="24"/>
    <x v="0"/>
    <x v="1"/>
    <n v="199"/>
    <x v="3"/>
    <n v="60"/>
    <x v="0"/>
    <x v="2"/>
    <n v="28"/>
    <x v="0"/>
    <x v="0"/>
    <n v="199"/>
    <x v="1"/>
    <x v="3"/>
  </r>
  <r>
    <x v="49"/>
    <x v="49"/>
    <n v="2023"/>
    <s v="Jul"/>
    <x v="0"/>
    <x v="2"/>
    <n v="22"/>
    <x v="0"/>
    <x v="1"/>
    <n v="199"/>
    <x v="8"/>
    <n v="44"/>
    <x v="2"/>
    <x v="2"/>
    <n v="4"/>
    <x v="1"/>
    <x v="1"/>
    <n v="0"/>
    <x v="1"/>
    <x v="1"/>
  </r>
  <r>
    <x v="50"/>
    <x v="50"/>
    <n v="2022"/>
    <s v="Feb"/>
    <x v="0"/>
    <x v="0"/>
    <n v="30"/>
    <x v="0"/>
    <x v="2"/>
    <n v="649"/>
    <x v="4"/>
    <n v="60"/>
    <x v="1"/>
    <x v="3"/>
    <n v="5"/>
    <x v="0"/>
    <x v="1"/>
    <n v="649"/>
    <x v="2"/>
    <x v="3"/>
  </r>
  <r>
    <x v="51"/>
    <x v="51"/>
    <n v="2022"/>
    <s v="Dec"/>
    <x v="0"/>
    <x v="2"/>
    <n v="47"/>
    <x v="1"/>
    <x v="0"/>
    <n v="499"/>
    <x v="7"/>
    <n v="60"/>
    <x v="3"/>
    <x v="1"/>
    <n v="19"/>
    <x v="0"/>
    <x v="0"/>
    <n v="499"/>
    <x v="0"/>
    <x v="3"/>
  </r>
  <r>
    <x v="52"/>
    <x v="52"/>
    <n v="2024"/>
    <s v="Nov"/>
    <x v="2"/>
    <x v="2"/>
    <n v="19"/>
    <x v="1"/>
    <x v="2"/>
    <n v="649"/>
    <x v="1"/>
    <n v="22"/>
    <x v="3"/>
    <x v="1"/>
    <n v="40"/>
    <x v="0"/>
    <x v="1"/>
    <n v="649"/>
    <x v="1"/>
    <x v="0"/>
  </r>
  <r>
    <x v="53"/>
    <x v="53"/>
    <n v="2022"/>
    <s v="Feb"/>
    <x v="1"/>
    <x v="2"/>
    <n v="51"/>
    <x v="0"/>
    <x v="1"/>
    <n v="199"/>
    <x v="3"/>
    <n v="32"/>
    <x v="2"/>
    <x v="0"/>
    <n v="29"/>
    <x v="0"/>
    <x v="1"/>
    <n v="199"/>
    <x v="0"/>
    <x v="0"/>
  </r>
  <r>
    <x v="54"/>
    <x v="54"/>
    <n v="2025"/>
    <s v="Aug"/>
    <x v="3"/>
    <x v="2"/>
    <n v="26"/>
    <x v="0"/>
    <x v="1"/>
    <n v="199"/>
    <x v="5"/>
    <n v="57"/>
    <x v="0"/>
    <x v="1"/>
    <n v="16"/>
    <x v="1"/>
    <x v="3"/>
    <n v="0"/>
    <x v="2"/>
    <x v="3"/>
  </r>
  <r>
    <x v="55"/>
    <x v="55"/>
    <n v="2025"/>
    <s v="May"/>
    <x v="3"/>
    <x v="1"/>
    <n v="46"/>
    <x v="1"/>
    <x v="1"/>
    <n v="199"/>
    <x v="0"/>
    <n v="50"/>
    <x v="2"/>
    <x v="0"/>
    <n v="48"/>
    <x v="0"/>
    <x v="2"/>
    <n v="199"/>
    <x v="0"/>
    <x v="1"/>
  </r>
  <r>
    <x v="56"/>
    <x v="56"/>
    <n v="2022"/>
    <s v="Jun"/>
    <x v="3"/>
    <x v="1"/>
    <n v="25"/>
    <x v="1"/>
    <x v="1"/>
    <n v="199"/>
    <x v="2"/>
    <n v="35"/>
    <x v="1"/>
    <x v="3"/>
    <n v="6"/>
    <x v="0"/>
    <x v="0"/>
    <n v="199"/>
    <x v="2"/>
    <x v="0"/>
  </r>
  <r>
    <x v="57"/>
    <x v="57"/>
    <n v="2022"/>
    <s v="Apr"/>
    <x v="0"/>
    <x v="1"/>
    <n v="32"/>
    <x v="1"/>
    <x v="1"/>
    <n v="199"/>
    <x v="1"/>
    <n v="25"/>
    <x v="2"/>
    <x v="1"/>
    <n v="12"/>
    <x v="0"/>
    <x v="2"/>
    <n v="199"/>
    <x v="2"/>
    <x v="0"/>
  </r>
  <r>
    <x v="58"/>
    <x v="58"/>
    <n v="2023"/>
    <s v="Jun"/>
    <x v="0"/>
    <x v="0"/>
    <n v="47"/>
    <x v="1"/>
    <x v="1"/>
    <n v="199"/>
    <x v="8"/>
    <n v="23"/>
    <x v="3"/>
    <x v="3"/>
    <n v="26"/>
    <x v="1"/>
    <x v="2"/>
    <n v="0"/>
    <x v="0"/>
    <x v="0"/>
  </r>
  <r>
    <x v="59"/>
    <x v="59"/>
    <n v="2022"/>
    <s v="Mar"/>
    <x v="2"/>
    <x v="0"/>
    <n v="21"/>
    <x v="1"/>
    <x v="0"/>
    <n v="499"/>
    <x v="2"/>
    <n v="52"/>
    <x v="3"/>
    <x v="0"/>
    <n v="8"/>
    <x v="0"/>
    <x v="2"/>
    <n v="499"/>
    <x v="1"/>
    <x v="3"/>
  </r>
  <r>
    <x v="60"/>
    <x v="60"/>
    <n v="2024"/>
    <s v="Oct"/>
    <x v="1"/>
    <x v="0"/>
    <n v="38"/>
    <x v="0"/>
    <x v="1"/>
    <n v="199"/>
    <x v="3"/>
    <n v="36"/>
    <x v="1"/>
    <x v="0"/>
    <n v="24"/>
    <x v="0"/>
    <x v="0"/>
    <n v="199"/>
    <x v="3"/>
    <x v="1"/>
  </r>
  <r>
    <x v="61"/>
    <x v="61"/>
    <n v="2022"/>
    <s v="Apr"/>
    <x v="1"/>
    <x v="0"/>
    <n v="54"/>
    <x v="0"/>
    <x v="2"/>
    <n v="649"/>
    <x v="5"/>
    <n v="28"/>
    <x v="0"/>
    <x v="0"/>
    <n v="25"/>
    <x v="0"/>
    <x v="2"/>
    <n v="649"/>
    <x v="0"/>
    <x v="0"/>
  </r>
  <r>
    <x v="62"/>
    <x v="62"/>
    <n v="2024"/>
    <s v="Oct"/>
    <x v="2"/>
    <x v="2"/>
    <n v="30"/>
    <x v="1"/>
    <x v="0"/>
    <n v="499"/>
    <x v="8"/>
    <n v="59"/>
    <x v="3"/>
    <x v="2"/>
    <n v="18"/>
    <x v="0"/>
    <x v="1"/>
    <n v="499"/>
    <x v="2"/>
    <x v="3"/>
  </r>
  <r>
    <x v="63"/>
    <x v="63"/>
    <n v="2025"/>
    <s v="Jan"/>
    <x v="0"/>
    <x v="0"/>
    <n v="52"/>
    <x v="0"/>
    <x v="2"/>
    <n v="649"/>
    <x v="4"/>
    <n v="48"/>
    <x v="2"/>
    <x v="3"/>
    <n v="26"/>
    <x v="0"/>
    <x v="0"/>
    <n v="649"/>
    <x v="0"/>
    <x v="1"/>
  </r>
  <r>
    <x v="64"/>
    <x v="64"/>
    <n v="2025"/>
    <s v="Feb"/>
    <x v="2"/>
    <x v="1"/>
    <n v="43"/>
    <x v="1"/>
    <x v="0"/>
    <n v="499"/>
    <x v="8"/>
    <n v="48"/>
    <x v="1"/>
    <x v="3"/>
    <n v="2"/>
    <x v="0"/>
    <x v="1"/>
    <n v="499"/>
    <x v="3"/>
    <x v="1"/>
  </r>
  <r>
    <x v="65"/>
    <x v="65"/>
    <n v="2022"/>
    <s v="Jun"/>
    <x v="3"/>
    <x v="1"/>
    <n v="34"/>
    <x v="0"/>
    <x v="0"/>
    <n v="499"/>
    <x v="2"/>
    <n v="33"/>
    <x v="1"/>
    <x v="3"/>
    <n v="46"/>
    <x v="0"/>
    <x v="0"/>
    <n v="499"/>
    <x v="2"/>
    <x v="0"/>
  </r>
  <r>
    <x v="66"/>
    <x v="66"/>
    <n v="2023"/>
    <s v="Nov"/>
    <x v="1"/>
    <x v="1"/>
    <n v="54"/>
    <x v="1"/>
    <x v="1"/>
    <n v="199"/>
    <x v="4"/>
    <n v="58"/>
    <x v="3"/>
    <x v="2"/>
    <n v="34"/>
    <x v="0"/>
    <x v="1"/>
    <n v="199"/>
    <x v="0"/>
    <x v="3"/>
  </r>
  <r>
    <x v="67"/>
    <x v="67"/>
    <n v="2022"/>
    <s v="Aug"/>
    <x v="3"/>
    <x v="2"/>
    <n v="39"/>
    <x v="0"/>
    <x v="0"/>
    <n v="499"/>
    <x v="7"/>
    <n v="43"/>
    <x v="3"/>
    <x v="2"/>
    <n v="6"/>
    <x v="0"/>
    <x v="1"/>
    <n v="499"/>
    <x v="3"/>
    <x v="1"/>
  </r>
  <r>
    <x v="68"/>
    <x v="68"/>
    <n v="2022"/>
    <s v="Mar"/>
    <x v="2"/>
    <x v="2"/>
    <n v="43"/>
    <x v="1"/>
    <x v="1"/>
    <n v="199"/>
    <x v="1"/>
    <n v="50"/>
    <x v="3"/>
    <x v="3"/>
    <n v="39"/>
    <x v="1"/>
    <x v="0"/>
    <n v="0"/>
    <x v="3"/>
    <x v="1"/>
  </r>
  <r>
    <x v="69"/>
    <x v="69"/>
    <n v="2023"/>
    <s v="Nov"/>
    <x v="0"/>
    <x v="2"/>
    <n v="21"/>
    <x v="0"/>
    <x v="0"/>
    <n v="499"/>
    <x v="1"/>
    <n v="58"/>
    <x v="1"/>
    <x v="3"/>
    <n v="11"/>
    <x v="0"/>
    <x v="2"/>
    <n v="499"/>
    <x v="1"/>
    <x v="3"/>
  </r>
  <r>
    <x v="70"/>
    <x v="70"/>
    <n v="2023"/>
    <s v="Jul"/>
    <x v="0"/>
    <x v="1"/>
    <n v="28"/>
    <x v="1"/>
    <x v="0"/>
    <n v="499"/>
    <x v="8"/>
    <n v="21"/>
    <x v="1"/>
    <x v="0"/>
    <n v="2"/>
    <x v="0"/>
    <x v="0"/>
    <n v="499"/>
    <x v="2"/>
    <x v="0"/>
  </r>
  <r>
    <x v="71"/>
    <x v="71"/>
    <n v="2024"/>
    <s v="Oct"/>
    <x v="1"/>
    <x v="1"/>
    <n v="21"/>
    <x v="0"/>
    <x v="2"/>
    <n v="649"/>
    <x v="5"/>
    <n v="25"/>
    <x v="1"/>
    <x v="1"/>
    <n v="12"/>
    <x v="0"/>
    <x v="0"/>
    <n v="649"/>
    <x v="1"/>
    <x v="0"/>
  </r>
  <r>
    <x v="72"/>
    <x v="72"/>
    <n v="2022"/>
    <s v="Jan"/>
    <x v="3"/>
    <x v="2"/>
    <n v="48"/>
    <x v="0"/>
    <x v="1"/>
    <n v="199"/>
    <x v="8"/>
    <n v="48"/>
    <x v="2"/>
    <x v="1"/>
    <n v="18"/>
    <x v="0"/>
    <x v="0"/>
    <n v="199"/>
    <x v="0"/>
    <x v="1"/>
  </r>
  <r>
    <x v="73"/>
    <x v="73"/>
    <n v="2023"/>
    <s v="Sep"/>
    <x v="2"/>
    <x v="2"/>
    <n v="53"/>
    <x v="0"/>
    <x v="0"/>
    <n v="499"/>
    <x v="2"/>
    <n v="35"/>
    <x v="0"/>
    <x v="1"/>
    <n v="4"/>
    <x v="0"/>
    <x v="2"/>
    <n v="499"/>
    <x v="0"/>
    <x v="0"/>
  </r>
  <r>
    <x v="74"/>
    <x v="24"/>
    <n v="2024"/>
    <s v="Aug"/>
    <x v="2"/>
    <x v="1"/>
    <n v="21"/>
    <x v="0"/>
    <x v="0"/>
    <n v="499"/>
    <x v="0"/>
    <n v="35"/>
    <x v="3"/>
    <x v="3"/>
    <n v="24"/>
    <x v="0"/>
    <x v="1"/>
    <n v="499"/>
    <x v="1"/>
    <x v="0"/>
  </r>
  <r>
    <x v="75"/>
    <x v="74"/>
    <n v="2023"/>
    <s v="Feb"/>
    <x v="3"/>
    <x v="2"/>
    <n v="21"/>
    <x v="0"/>
    <x v="0"/>
    <n v="499"/>
    <x v="2"/>
    <n v="59"/>
    <x v="0"/>
    <x v="3"/>
    <n v="12"/>
    <x v="0"/>
    <x v="0"/>
    <n v="499"/>
    <x v="1"/>
    <x v="3"/>
  </r>
  <r>
    <x v="76"/>
    <x v="75"/>
    <n v="2024"/>
    <s v="Mar"/>
    <x v="1"/>
    <x v="1"/>
    <n v="29"/>
    <x v="1"/>
    <x v="0"/>
    <n v="499"/>
    <x v="4"/>
    <n v="34"/>
    <x v="2"/>
    <x v="2"/>
    <n v="12"/>
    <x v="0"/>
    <x v="0"/>
    <n v="499"/>
    <x v="2"/>
    <x v="0"/>
  </r>
  <r>
    <x v="77"/>
    <x v="76"/>
    <n v="2022"/>
    <s v="Aug"/>
    <x v="1"/>
    <x v="2"/>
    <n v="48"/>
    <x v="1"/>
    <x v="1"/>
    <n v="199"/>
    <x v="6"/>
    <n v="51"/>
    <x v="3"/>
    <x v="0"/>
    <n v="11"/>
    <x v="0"/>
    <x v="0"/>
    <n v="199"/>
    <x v="0"/>
    <x v="3"/>
  </r>
  <r>
    <x v="78"/>
    <x v="77"/>
    <n v="2022"/>
    <s v="Apr"/>
    <x v="0"/>
    <x v="0"/>
    <n v="52"/>
    <x v="0"/>
    <x v="1"/>
    <n v="199"/>
    <x v="4"/>
    <n v="27"/>
    <x v="3"/>
    <x v="3"/>
    <n v="12"/>
    <x v="0"/>
    <x v="1"/>
    <n v="199"/>
    <x v="0"/>
    <x v="0"/>
  </r>
  <r>
    <x v="79"/>
    <x v="78"/>
    <n v="2022"/>
    <s v="Jul"/>
    <x v="3"/>
    <x v="0"/>
    <n v="50"/>
    <x v="1"/>
    <x v="0"/>
    <n v="499"/>
    <x v="6"/>
    <n v="33"/>
    <x v="2"/>
    <x v="1"/>
    <n v="31"/>
    <x v="0"/>
    <x v="2"/>
    <n v="499"/>
    <x v="0"/>
    <x v="0"/>
  </r>
  <r>
    <x v="80"/>
    <x v="79"/>
    <n v="2025"/>
    <s v="Feb"/>
    <x v="1"/>
    <x v="2"/>
    <n v="40"/>
    <x v="1"/>
    <x v="2"/>
    <n v="649"/>
    <x v="4"/>
    <n v="26"/>
    <x v="1"/>
    <x v="2"/>
    <n v="24"/>
    <x v="0"/>
    <x v="0"/>
    <n v="649"/>
    <x v="3"/>
    <x v="0"/>
  </r>
  <r>
    <x v="81"/>
    <x v="80"/>
    <n v="2022"/>
    <s v="Dec"/>
    <x v="2"/>
    <x v="1"/>
    <n v="38"/>
    <x v="1"/>
    <x v="2"/>
    <n v="649"/>
    <x v="1"/>
    <n v="44"/>
    <x v="1"/>
    <x v="3"/>
    <n v="2"/>
    <x v="0"/>
    <x v="0"/>
    <n v="649"/>
    <x v="3"/>
    <x v="1"/>
  </r>
  <r>
    <x v="82"/>
    <x v="81"/>
    <n v="2025"/>
    <s v="Sep"/>
    <x v="3"/>
    <x v="2"/>
    <n v="38"/>
    <x v="1"/>
    <x v="1"/>
    <n v="199"/>
    <x v="8"/>
    <n v="42"/>
    <x v="3"/>
    <x v="3"/>
    <n v="44"/>
    <x v="0"/>
    <x v="1"/>
    <n v="199"/>
    <x v="3"/>
    <x v="1"/>
  </r>
  <r>
    <x v="83"/>
    <x v="82"/>
    <n v="2023"/>
    <s v="Jul"/>
    <x v="3"/>
    <x v="0"/>
    <n v="25"/>
    <x v="0"/>
    <x v="0"/>
    <n v="499"/>
    <x v="4"/>
    <n v="46"/>
    <x v="0"/>
    <x v="1"/>
    <n v="20"/>
    <x v="0"/>
    <x v="1"/>
    <n v="499"/>
    <x v="2"/>
    <x v="1"/>
  </r>
  <r>
    <x v="84"/>
    <x v="83"/>
    <n v="2023"/>
    <s v="Oct"/>
    <x v="0"/>
    <x v="2"/>
    <n v="23"/>
    <x v="0"/>
    <x v="1"/>
    <n v="199"/>
    <x v="5"/>
    <n v="58"/>
    <x v="1"/>
    <x v="1"/>
    <n v="33"/>
    <x v="0"/>
    <x v="2"/>
    <n v="199"/>
    <x v="1"/>
    <x v="3"/>
  </r>
  <r>
    <x v="85"/>
    <x v="84"/>
    <n v="2023"/>
    <s v="Nov"/>
    <x v="2"/>
    <x v="1"/>
    <n v="41"/>
    <x v="0"/>
    <x v="1"/>
    <n v="199"/>
    <x v="4"/>
    <n v="53"/>
    <x v="1"/>
    <x v="1"/>
    <n v="9"/>
    <x v="0"/>
    <x v="1"/>
    <n v="199"/>
    <x v="3"/>
    <x v="3"/>
  </r>
  <r>
    <x v="86"/>
    <x v="85"/>
    <n v="2025"/>
    <s v="Feb"/>
    <x v="0"/>
    <x v="2"/>
    <n v="46"/>
    <x v="1"/>
    <x v="2"/>
    <n v="649"/>
    <x v="0"/>
    <n v="53"/>
    <x v="2"/>
    <x v="2"/>
    <n v="34"/>
    <x v="0"/>
    <x v="0"/>
    <n v="649"/>
    <x v="0"/>
    <x v="3"/>
  </r>
  <r>
    <x v="87"/>
    <x v="86"/>
    <n v="2022"/>
    <s v="Sep"/>
    <x v="2"/>
    <x v="0"/>
    <n v="29"/>
    <x v="0"/>
    <x v="0"/>
    <n v="499"/>
    <x v="1"/>
    <n v="32"/>
    <x v="0"/>
    <x v="2"/>
    <n v="17"/>
    <x v="0"/>
    <x v="0"/>
    <n v="499"/>
    <x v="2"/>
    <x v="0"/>
  </r>
  <r>
    <x v="88"/>
    <x v="87"/>
    <n v="2023"/>
    <s v="Oct"/>
    <x v="3"/>
    <x v="0"/>
    <n v="30"/>
    <x v="0"/>
    <x v="2"/>
    <n v="649"/>
    <x v="7"/>
    <n v="51"/>
    <x v="3"/>
    <x v="1"/>
    <n v="25"/>
    <x v="1"/>
    <x v="1"/>
    <n v="0"/>
    <x v="2"/>
    <x v="3"/>
  </r>
  <r>
    <x v="89"/>
    <x v="88"/>
    <n v="2024"/>
    <s v="Jul"/>
    <x v="1"/>
    <x v="0"/>
    <n v="41"/>
    <x v="1"/>
    <x v="2"/>
    <n v="649"/>
    <x v="6"/>
    <n v="54"/>
    <x v="1"/>
    <x v="1"/>
    <n v="47"/>
    <x v="0"/>
    <x v="1"/>
    <n v="649"/>
    <x v="3"/>
    <x v="3"/>
  </r>
  <r>
    <x v="90"/>
    <x v="89"/>
    <n v="2025"/>
    <s v="Feb"/>
    <x v="1"/>
    <x v="0"/>
    <n v="48"/>
    <x v="1"/>
    <x v="0"/>
    <n v="499"/>
    <x v="7"/>
    <n v="44"/>
    <x v="2"/>
    <x v="0"/>
    <n v="20"/>
    <x v="0"/>
    <x v="2"/>
    <n v="499"/>
    <x v="0"/>
    <x v="1"/>
  </r>
  <r>
    <x v="91"/>
    <x v="90"/>
    <n v="2024"/>
    <s v="Sep"/>
    <x v="3"/>
    <x v="0"/>
    <n v="55"/>
    <x v="1"/>
    <x v="0"/>
    <n v="499"/>
    <x v="4"/>
    <n v="41"/>
    <x v="0"/>
    <x v="1"/>
    <n v="45"/>
    <x v="0"/>
    <x v="0"/>
    <n v="499"/>
    <x v="4"/>
    <x v="1"/>
  </r>
  <r>
    <x v="92"/>
    <x v="91"/>
    <n v="2023"/>
    <s v="Jul"/>
    <x v="0"/>
    <x v="2"/>
    <n v="51"/>
    <x v="0"/>
    <x v="1"/>
    <n v="199"/>
    <x v="2"/>
    <n v="45"/>
    <x v="0"/>
    <x v="2"/>
    <n v="35"/>
    <x v="0"/>
    <x v="2"/>
    <n v="199"/>
    <x v="0"/>
    <x v="1"/>
  </r>
  <r>
    <x v="93"/>
    <x v="92"/>
    <n v="2024"/>
    <s v="Oct"/>
    <x v="3"/>
    <x v="1"/>
    <n v="37"/>
    <x v="1"/>
    <x v="0"/>
    <n v="499"/>
    <x v="1"/>
    <n v="20"/>
    <x v="3"/>
    <x v="0"/>
    <n v="40"/>
    <x v="0"/>
    <x v="2"/>
    <n v="499"/>
    <x v="3"/>
    <x v="2"/>
  </r>
  <r>
    <x v="94"/>
    <x v="93"/>
    <n v="2023"/>
    <s v="Jan"/>
    <x v="2"/>
    <x v="0"/>
    <n v="54"/>
    <x v="0"/>
    <x v="2"/>
    <n v="649"/>
    <x v="3"/>
    <n v="60"/>
    <x v="2"/>
    <x v="1"/>
    <n v="32"/>
    <x v="0"/>
    <x v="0"/>
    <n v="649"/>
    <x v="0"/>
    <x v="3"/>
  </r>
  <r>
    <x v="95"/>
    <x v="94"/>
    <n v="2024"/>
    <s v="Oct"/>
    <x v="0"/>
    <x v="2"/>
    <n v="46"/>
    <x v="1"/>
    <x v="2"/>
    <n v="649"/>
    <x v="1"/>
    <n v="26"/>
    <x v="1"/>
    <x v="2"/>
    <n v="22"/>
    <x v="0"/>
    <x v="2"/>
    <n v="649"/>
    <x v="0"/>
    <x v="0"/>
  </r>
  <r>
    <x v="96"/>
    <x v="95"/>
    <n v="2024"/>
    <s v="Jan"/>
    <x v="1"/>
    <x v="0"/>
    <n v="48"/>
    <x v="0"/>
    <x v="0"/>
    <n v="499"/>
    <x v="1"/>
    <n v="49"/>
    <x v="3"/>
    <x v="2"/>
    <n v="37"/>
    <x v="0"/>
    <x v="0"/>
    <n v="499"/>
    <x v="0"/>
    <x v="1"/>
  </r>
  <r>
    <x v="97"/>
    <x v="96"/>
    <n v="2024"/>
    <s v="Jan"/>
    <x v="0"/>
    <x v="0"/>
    <n v="53"/>
    <x v="1"/>
    <x v="1"/>
    <n v="199"/>
    <x v="0"/>
    <n v="54"/>
    <x v="3"/>
    <x v="3"/>
    <n v="18"/>
    <x v="0"/>
    <x v="2"/>
    <n v="199"/>
    <x v="0"/>
    <x v="3"/>
  </r>
  <r>
    <x v="98"/>
    <x v="97"/>
    <n v="2022"/>
    <s v="Jan"/>
    <x v="0"/>
    <x v="1"/>
    <n v="32"/>
    <x v="1"/>
    <x v="0"/>
    <n v="499"/>
    <x v="3"/>
    <n v="31"/>
    <x v="1"/>
    <x v="2"/>
    <n v="6"/>
    <x v="0"/>
    <x v="1"/>
    <n v="499"/>
    <x v="2"/>
    <x v="0"/>
  </r>
  <r>
    <x v="99"/>
    <x v="98"/>
    <n v="2024"/>
    <s v="Apr"/>
    <x v="2"/>
    <x v="2"/>
    <n v="46"/>
    <x v="0"/>
    <x v="1"/>
    <n v="199"/>
    <x v="3"/>
    <n v="46"/>
    <x v="0"/>
    <x v="2"/>
    <n v="28"/>
    <x v="0"/>
    <x v="0"/>
    <n v="199"/>
    <x v="0"/>
    <x v="1"/>
  </r>
  <r>
    <x v="100"/>
    <x v="99"/>
    <n v="2024"/>
    <s v="Nov"/>
    <x v="3"/>
    <x v="2"/>
    <n v="29"/>
    <x v="1"/>
    <x v="1"/>
    <n v="199"/>
    <x v="6"/>
    <n v="24"/>
    <x v="2"/>
    <x v="0"/>
    <n v="41"/>
    <x v="0"/>
    <x v="2"/>
    <n v="199"/>
    <x v="2"/>
    <x v="0"/>
  </r>
  <r>
    <x v="101"/>
    <x v="100"/>
    <n v="2024"/>
    <s v="Jun"/>
    <x v="2"/>
    <x v="1"/>
    <n v="40"/>
    <x v="1"/>
    <x v="1"/>
    <n v="199"/>
    <x v="1"/>
    <n v="59"/>
    <x v="3"/>
    <x v="0"/>
    <n v="31"/>
    <x v="0"/>
    <x v="2"/>
    <n v="199"/>
    <x v="3"/>
    <x v="3"/>
  </r>
  <r>
    <x v="102"/>
    <x v="101"/>
    <n v="2023"/>
    <s v="Jul"/>
    <x v="3"/>
    <x v="2"/>
    <n v="42"/>
    <x v="0"/>
    <x v="2"/>
    <n v="649"/>
    <x v="8"/>
    <n v="27"/>
    <x v="1"/>
    <x v="2"/>
    <n v="23"/>
    <x v="0"/>
    <x v="0"/>
    <n v="649"/>
    <x v="3"/>
    <x v="0"/>
  </r>
  <r>
    <x v="103"/>
    <x v="102"/>
    <n v="2025"/>
    <s v="Dec"/>
    <x v="0"/>
    <x v="2"/>
    <n v="22"/>
    <x v="1"/>
    <x v="0"/>
    <n v="499"/>
    <x v="7"/>
    <n v="20"/>
    <x v="2"/>
    <x v="0"/>
    <n v="14"/>
    <x v="1"/>
    <x v="2"/>
    <n v="0"/>
    <x v="1"/>
    <x v="2"/>
  </r>
  <r>
    <x v="104"/>
    <x v="103"/>
    <n v="2025"/>
    <s v="Sep"/>
    <x v="0"/>
    <x v="1"/>
    <n v="25"/>
    <x v="0"/>
    <x v="2"/>
    <n v="649"/>
    <x v="2"/>
    <n v="47"/>
    <x v="1"/>
    <x v="1"/>
    <n v="23"/>
    <x v="0"/>
    <x v="0"/>
    <n v="649"/>
    <x v="2"/>
    <x v="1"/>
  </r>
  <r>
    <x v="105"/>
    <x v="104"/>
    <n v="2023"/>
    <s v="Jul"/>
    <x v="0"/>
    <x v="1"/>
    <n v="39"/>
    <x v="0"/>
    <x v="1"/>
    <n v="199"/>
    <x v="8"/>
    <n v="41"/>
    <x v="3"/>
    <x v="0"/>
    <n v="22"/>
    <x v="0"/>
    <x v="2"/>
    <n v="199"/>
    <x v="3"/>
    <x v="1"/>
  </r>
  <r>
    <x v="106"/>
    <x v="105"/>
    <n v="2025"/>
    <s v="Jun"/>
    <x v="2"/>
    <x v="0"/>
    <n v="40"/>
    <x v="0"/>
    <x v="2"/>
    <n v="649"/>
    <x v="4"/>
    <n v="33"/>
    <x v="0"/>
    <x v="0"/>
    <n v="47"/>
    <x v="0"/>
    <x v="0"/>
    <n v="649"/>
    <x v="3"/>
    <x v="0"/>
  </r>
  <r>
    <x v="107"/>
    <x v="21"/>
    <n v="2022"/>
    <s v="Mar"/>
    <x v="3"/>
    <x v="0"/>
    <n v="42"/>
    <x v="1"/>
    <x v="0"/>
    <n v="499"/>
    <x v="3"/>
    <n v="37"/>
    <x v="1"/>
    <x v="0"/>
    <n v="27"/>
    <x v="0"/>
    <x v="0"/>
    <n v="499"/>
    <x v="3"/>
    <x v="1"/>
  </r>
  <r>
    <x v="108"/>
    <x v="106"/>
    <n v="2023"/>
    <s v="Sep"/>
    <x v="2"/>
    <x v="1"/>
    <n v="34"/>
    <x v="1"/>
    <x v="1"/>
    <n v="199"/>
    <x v="2"/>
    <n v="49"/>
    <x v="0"/>
    <x v="3"/>
    <n v="5"/>
    <x v="1"/>
    <x v="2"/>
    <n v="0"/>
    <x v="2"/>
    <x v="1"/>
  </r>
  <r>
    <x v="109"/>
    <x v="107"/>
    <n v="2023"/>
    <s v="Feb"/>
    <x v="3"/>
    <x v="2"/>
    <n v="48"/>
    <x v="0"/>
    <x v="2"/>
    <n v="649"/>
    <x v="1"/>
    <n v="25"/>
    <x v="1"/>
    <x v="0"/>
    <n v="14"/>
    <x v="0"/>
    <x v="0"/>
    <n v="649"/>
    <x v="0"/>
    <x v="0"/>
  </r>
  <r>
    <x v="110"/>
    <x v="108"/>
    <n v="2022"/>
    <s v="Oct"/>
    <x v="1"/>
    <x v="0"/>
    <n v="36"/>
    <x v="1"/>
    <x v="0"/>
    <n v="499"/>
    <x v="6"/>
    <n v="60"/>
    <x v="3"/>
    <x v="3"/>
    <n v="35"/>
    <x v="0"/>
    <x v="0"/>
    <n v="499"/>
    <x v="3"/>
    <x v="3"/>
  </r>
  <r>
    <x v="111"/>
    <x v="109"/>
    <n v="2025"/>
    <s v="May"/>
    <x v="3"/>
    <x v="0"/>
    <n v="49"/>
    <x v="1"/>
    <x v="0"/>
    <n v="499"/>
    <x v="4"/>
    <n v="40"/>
    <x v="2"/>
    <x v="3"/>
    <n v="1"/>
    <x v="0"/>
    <x v="0"/>
    <n v="499"/>
    <x v="0"/>
    <x v="1"/>
  </r>
  <r>
    <x v="112"/>
    <x v="110"/>
    <n v="2022"/>
    <s v="Nov"/>
    <x v="1"/>
    <x v="0"/>
    <n v="40"/>
    <x v="1"/>
    <x v="2"/>
    <n v="649"/>
    <x v="0"/>
    <n v="38"/>
    <x v="1"/>
    <x v="2"/>
    <n v="1"/>
    <x v="0"/>
    <x v="0"/>
    <n v="649"/>
    <x v="3"/>
    <x v="1"/>
  </r>
  <r>
    <x v="113"/>
    <x v="76"/>
    <n v="2022"/>
    <s v="Aug"/>
    <x v="1"/>
    <x v="1"/>
    <n v="36"/>
    <x v="1"/>
    <x v="1"/>
    <n v="199"/>
    <x v="5"/>
    <n v="44"/>
    <x v="0"/>
    <x v="2"/>
    <n v="27"/>
    <x v="0"/>
    <x v="0"/>
    <n v="199"/>
    <x v="3"/>
    <x v="1"/>
  </r>
  <r>
    <x v="114"/>
    <x v="111"/>
    <n v="2025"/>
    <s v="Apr"/>
    <x v="2"/>
    <x v="0"/>
    <n v="38"/>
    <x v="1"/>
    <x v="0"/>
    <n v="499"/>
    <x v="7"/>
    <n v="59"/>
    <x v="1"/>
    <x v="1"/>
    <n v="17"/>
    <x v="0"/>
    <x v="1"/>
    <n v="499"/>
    <x v="3"/>
    <x v="3"/>
  </r>
  <r>
    <x v="115"/>
    <x v="112"/>
    <n v="2023"/>
    <s v="Jul"/>
    <x v="3"/>
    <x v="2"/>
    <n v="30"/>
    <x v="1"/>
    <x v="1"/>
    <n v="199"/>
    <x v="1"/>
    <n v="38"/>
    <x v="1"/>
    <x v="3"/>
    <n v="4"/>
    <x v="0"/>
    <x v="0"/>
    <n v="199"/>
    <x v="2"/>
    <x v="1"/>
  </r>
  <r>
    <x v="116"/>
    <x v="113"/>
    <n v="2022"/>
    <s v="Feb"/>
    <x v="2"/>
    <x v="1"/>
    <n v="51"/>
    <x v="0"/>
    <x v="1"/>
    <n v="199"/>
    <x v="2"/>
    <n v="53"/>
    <x v="0"/>
    <x v="1"/>
    <n v="12"/>
    <x v="0"/>
    <x v="0"/>
    <n v="199"/>
    <x v="0"/>
    <x v="3"/>
  </r>
  <r>
    <x v="117"/>
    <x v="114"/>
    <n v="2023"/>
    <s v="Sep"/>
    <x v="2"/>
    <x v="2"/>
    <n v="24"/>
    <x v="0"/>
    <x v="0"/>
    <n v="499"/>
    <x v="7"/>
    <n v="40"/>
    <x v="1"/>
    <x v="2"/>
    <n v="35"/>
    <x v="0"/>
    <x v="0"/>
    <n v="499"/>
    <x v="1"/>
    <x v="1"/>
  </r>
  <r>
    <x v="118"/>
    <x v="115"/>
    <n v="2024"/>
    <s v="May"/>
    <x v="0"/>
    <x v="0"/>
    <n v="37"/>
    <x v="0"/>
    <x v="1"/>
    <n v="199"/>
    <x v="2"/>
    <n v="59"/>
    <x v="3"/>
    <x v="3"/>
    <n v="7"/>
    <x v="1"/>
    <x v="2"/>
    <n v="0"/>
    <x v="3"/>
    <x v="3"/>
  </r>
  <r>
    <x v="119"/>
    <x v="116"/>
    <n v="2025"/>
    <s v="Oct"/>
    <x v="0"/>
    <x v="0"/>
    <n v="24"/>
    <x v="1"/>
    <x v="2"/>
    <n v="649"/>
    <x v="7"/>
    <n v="30"/>
    <x v="3"/>
    <x v="2"/>
    <n v="12"/>
    <x v="0"/>
    <x v="1"/>
    <n v="649"/>
    <x v="1"/>
    <x v="0"/>
  </r>
  <r>
    <x v="120"/>
    <x v="117"/>
    <n v="2022"/>
    <s v="Aug"/>
    <x v="1"/>
    <x v="0"/>
    <n v="18"/>
    <x v="1"/>
    <x v="2"/>
    <n v="649"/>
    <x v="0"/>
    <n v="37"/>
    <x v="3"/>
    <x v="1"/>
    <n v="4"/>
    <x v="0"/>
    <x v="0"/>
    <n v="649"/>
    <x v="1"/>
    <x v="1"/>
  </r>
  <r>
    <x v="121"/>
    <x v="118"/>
    <n v="2022"/>
    <s v="Jun"/>
    <x v="1"/>
    <x v="2"/>
    <n v="29"/>
    <x v="0"/>
    <x v="1"/>
    <n v="199"/>
    <x v="1"/>
    <n v="52"/>
    <x v="2"/>
    <x v="1"/>
    <n v="32"/>
    <x v="0"/>
    <x v="0"/>
    <n v="199"/>
    <x v="2"/>
    <x v="3"/>
  </r>
  <r>
    <x v="122"/>
    <x v="119"/>
    <n v="2024"/>
    <s v="Sep"/>
    <x v="1"/>
    <x v="2"/>
    <n v="34"/>
    <x v="1"/>
    <x v="2"/>
    <n v="649"/>
    <x v="5"/>
    <n v="24"/>
    <x v="0"/>
    <x v="0"/>
    <n v="36"/>
    <x v="0"/>
    <x v="1"/>
    <n v="649"/>
    <x v="2"/>
    <x v="0"/>
  </r>
  <r>
    <x v="123"/>
    <x v="120"/>
    <n v="2024"/>
    <s v="Feb"/>
    <x v="3"/>
    <x v="0"/>
    <n v="30"/>
    <x v="1"/>
    <x v="0"/>
    <n v="499"/>
    <x v="6"/>
    <n v="52"/>
    <x v="2"/>
    <x v="3"/>
    <n v="41"/>
    <x v="0"/>
    <x v="0"/>
    <n v="499"/>
    <x v="2"/>
    <x v="3"/>
  </r>
  <r>
    <x v="124"/>
    <x v="121"/>
    <n v="2024"/>
    <s v="Nov"/>
    <x v="3"/>
    <x v="2"/>
    <n v="19"/>
    <x v="1"/>
    <x v="0"/>
    <n v="499"/>
    <x v="8"/>
    <n v="40"/>
    <x v="3"/>
    <x v="3"/>
    <n v="40"/>
    <x v="0"/>
    <x v="2"/>
    <n v="499"/>
    <x v="1"/>
    <x v="1"/>
  </r>
  <r>
    <x v="125"/>
    <x v="122"/>
    <n v="2022"/>
    <s v="May"/>
    <x v="0"/>
    <x v="2"/>
    <n v="30"/>
    <x v="1"/>
    <x v="2"/>
    <n v="649"/>
    <x v="4"/>
    <n v="53"/>
    <x v="3"/>
    <x v="1"/>
    <n v="13"/>
    <x v="1"/>
    <x v="1"/>
    <n v="0"/>
    <x v="2"/>
    <x v="3"/>
  </r>
  <r>
    <x v="126"/>
    <x v="123"/>
    <n v="2025"/>
    <s v="Dec"/>
    <x v="2"/>
    <x v="2"/>
    <n v="23"/>
    <x v="1"/>
    <x v="2"/>
    <n v="649"/>
    <x v="2"/>
    <n v="42"/>
    <x v="1"/>
    <x v="1"/>
    <n v="35"/>
    <x v="0"/>
    <x v="2"/>
    <n v="649"/>
    <x v="1"/>
    <x v="1"/>
  </r>
  <r>
    <x v="127"/>
    <x v="124"/>
    <n v="2022"/>
    <s v="Jan"/>
    <x v="2"/>
    <x v="1"/>
    <n v="37"/>
    <x v="0"/>
    <x v="2"/>
    <n v="649"/>
    <x v="4"/>
    <n v="58"/>
    <x v="0"/>
    <x v="3"/>
    <n v="12"/>
    <x v="0"/>
    <x v="0"/>
    <n v="649"/>
    <x v="3"/>
    <x v="3"/>
  </r>
  <r>
    <x v="128"/>
    <x v="125"/>
    <n v="2024"/>
    <s v="Sep"/>
    <x v="2"/>
    <x v="0"/>
    <n v="38"/>
    <x v="1"/>
    <x v="1"/>
    <n v="199"/>
    <x v="2"/>
    <n v="55"/>
    <x v="0"/>
    <x v="0"/>
    <n v="41"/>
    <x v="0"/>
    <x v="2"/>
    <n v="199"/>
    <x v="3"/>
    <x v="3"/>
  </r>
  <r>
    <x v="129"/>
    <x v="123"/>
    <n v="2025"/>
    <s v="Dec"/>
    <x v="3"/>
    <x v="1"/>
    <n v="26"/>
    <x v="1"/>
    <x v="0"/>
    <n v="499"/>
    <x v="0"/>
    <n v="46"/>
    <x v="1"/>
    <x v="2"/>
    <n v="19"/>
    <x v="0"/>
    <x v="1"/>
    <n v="499"/>
    <x v="2"/>
    <x v="1"/>
  </r>
  <r>
    <x v="130"/>
    <x v="126"/>
    <n v="2022"/>
    <s v="Dec"/>
    <x v="3"/>
    <x v="1"/>
    <n v="42"/>
    <x v="0"/>
    <x v="0"/>
    <n v="499"/>
    <x v="2"/>
    <n v="27"/>
    <x v="1"/>
    <x v="3"/>
    <n v="32"/>
    <x v="0"/>
    <x v="1"/>
    <n v="499"/>
    <x v="3"/>
    <x v="0"/>
  </r>
  <r>
    <x v="131"/>
    <x v="127"/>
    <n v="2024"/>
    <s v="Jan"/>
    <x v="3"/>
    <x v="1"/>
    <n v="33"/>
    <x v="0"/>
    <x v="1"/>
    <n v="199"/>
    <x v="5"/>
    <n v="25"/>
    <x v="3"/>
    <x v="1"/>
    <n v="36"/>
    <x v="0"/>
    <x v="0"/>
    <n v="199"/>
    <x v="2"/>
    <x v="0"/>
  </r>
  <r>
    <x v="132"/>
    <x v="128"/>
    <n v="2025"/>
    <s v="Jun"/>
    <x v="3"/>
    <x v="1"/>
    <n v="55"/>
    <x v="0"/>
    <x v="0"/>
    <n v="499"/>
    <x v="2"/>
    <n v="54"/>
    <x v="0"/>
    <x v="3"/>
    <n v="34"/>
    <x v="0"/>
    <x v="2"/>
    <n v="499"/>
    <x v="4"/>
    <x v="3"/>
  </r>
  <r>
    <x v="133"/>
    <x v="129"/>
    <n v="2024"/>
    <s v="Oct"/>
    <x v="0"/>
    <x v="1"/>
    <n v="39"/>
    <x v="1"/>
    <x v="2"/>
    <n v="649"/>
    <x v="8"/>
    <n v="41"/>
    <x v="1"/>
    <x v="1"/>
    <n v="22"/>
    <x v="0"/>
    <x v="1"/>
    <n v="649"/>
    <x v="3"/>
    <x v="1"/>
  </r>
  <r>
    <x v="134"/>
    <x v="130"/>
    <n v="2024"/>
    <s v="Feb"/>
    <x v="3"/>
    <x v="0"/>
    <n v="40"/>
    <x v="0"/>
    <x v="0"/>
    <n v="499"/>
    <x v="1"/>
    <n v="45"/>
    <x v="2"/>
    <x v="3"/>
    <n v="11"/>
    <x v="0"/>
    <x v="2"/>
    <n v="499"/>
    <x v="3"/>
    <x v="1"/>
  </r>
  <r>
    <x v="135"/>
    <x v="131"/>
    <n v="2025"/>
    <s v="Jul"/>
    <x v="1"/>
    <x v="0"/>
    <n v="54"/>
    <x v="1"/>
    <x v="2"/>
    <n v="649"/>
    <x v="0"/>
    <n v="27"/>
    <x v="3"/>
    <x v="0"/>
    <n v="3"/>
    <x v="0"/>
    <x v="1"/>
    <n v="649"/>
    <x v="0"/>
    <x v="0"/>
  </r>
  <r>
    <x v="136"/>
    <x v="132"/>
    <n v="2023"/>
    <s v="Aug"/>
    <x v="2"/>
    <x v="0"/>
    <n v="42"/>
    <x v="0"/>
    <x v="1"/>
    <n v="199"/>
    <x v="2"/>
    <n v="25"/>
    <x v="0"/>
    <x v="1"/>
    <n v="21"/>
    <x v="1"/>
    <x v="3"/>
    <n v="0"/>
    <x v="3"/>
    <x v="0"/>
  </r>
  <r>
    <x v="137"/>
    <x v="133"/>
    <n v="2024"/>
    <s v="Nov"/>
    <x v="3"/>
    <x v="0"/>
    <n v="51"/>
    <x v="1"/>
    <x v="0"/>
    <n v="499"/>
    <x v="6"/>
    <n v="54"/>
    <x v="3"/>
    <x v="1"/>
    <n v="20"/>
    <x v="0"/>
    <x v="0"/>
    <n v="499"/>
    <x v="0"/>
    <x v="3"/>
  </r>
  <r>
    <x v="138"/>
    <x v="134"/>
    <n v="2022"/>
    <s v="Oct"/>
    <x v="2"/>
    <x v="2"/>
    <n v="40"/>
    <x v="0"/>
    <x v="0"/>
    <n v="499"/>
    <x v="1"/>
    <n v="31"/>
    <x v="3"/>
    <x v="3"/>
    <n v="14"/>
    <x v="0"/>
    <x v="1"/>
    <n v="499"/>
    <x v="3"/>
    <x v="0"/>
  </r>
  <r>
    <x v="139"/>
    <x v="135"/>
    <n v="2022"/>
    <s v="Jun"/>
    <x v="2"/>
    <x v="0"/>
    <n v="50"/>
    <x v="0"/>
    <x v="2"/>
    <n v="649"/>
    <x v="0"/>
    <n v="26"/>
    <x v="0"/>
    <x v="3"/>
    <n v="6"/>
    <x v="0"/>
    <x v="1"/>
    <n v="649"/>
    <x v="0"/>
    <x v="0"/>
  </r>
  <r>
    <x v="140"/>
    <x v="57"/>
    <n v="2022"/>
    <s v="Apr"/>
    <x v="2"/>
    <x v="0"/>
    <n v="55"/>
    <x v="0"/>
    <x v="1"/>
    <n v="199"/>
    <x v="4"/>
    <n v="59"/>
    <x v="2"/>
    <x v="0"/>
    <n v="31"/>
    <x v="0"/>
    <x v="1"/>
    <n v="199"/>
    <x v="4"/>
    <x v="3"/>
  </r>
  <r>
    <x v="141"/>
    <x v="136"/>
    <n v="2025"/>
    <s v="Oct"/>
    <x v="2"/>
    <x v="1"/>
    <n v="32"/>
    <x v="1"/>
    <x v="1"/>
    <n v="199"/>
    <x v="5"/>
    <n v="55"/>
    <x v="0"/>
    <x v="3"/>
    <n v="17"/>
    <x v="0"/>
    <x v="0"/>
    <n v="199"/>
    <x v="2"/>
    <x v="3"/>
  </r>
  <r>
    <x v="142"/>
    <x v="137"/>
    <n v="2022"/>
    <s v="Apr"/>
    <x v="2"/>
    <x v="1"/>
    <n v="55"/>
    <x v="1"/>
    <x v="2"/>
    <n v="649"/>
    <x v="7"/>
    <n v="35"/>
    <x v="1"/>
    <x v="2"/>
    <n v="15"/>
    <x v="0"/>
    <x v="0"/>
    <n v="649"/>
    <x v="4"/>
    <x v="0"/>
  </r>
  <r>
    <x v="143"/>
    <x v="138"/>
    <n v="2022"/>
    <s v="Nov"/>
    <x v="0"/>
    <x v="1"/>
    <n v="51"/>
    <x v="1"/>
    <x v="2"/>
    <n v="649"/>
    <x v="7"/>
    <n v="40"/>
    <x v="3"/>
    <x v="0"/>
    <n v="9"/>
    <x v="0"/>
    <x v="2"/>
    <n v="649"/>
    <x v="0"/>
    <x v="1"/>
  </r>
  <r>
    <x v="144"/>
    <x v="139"/>
    <n v="2024"/>
    <s v="Jan"/>
    <x v="3"/>
    <x v="2"/>
    <n v="44"/>
    <x v="0"/>
    <x v="1"/>
    <n v="199"/>
    <x v="7"/>
    <n v="40"/>
    <x v="3"/>
    <x v="2"/>
    <n v="2"/>
    <x v="0"/>
    <x v="0"/>
    <n v="199"/>
    <x v="3"/>
    <x v="1"/>
  </r>
  <r>
    <x v="145"/>
    <x v="140"/>
    <n v="2025"/>
    <s v="May"/>
    <x v="0"/>
    <x v="0"/>
    <n v="46"/>
    <x v="0"/>
    <x v="1"/>
    <n v="199"/>
    <x v="4"/>
    <n v="34"/>
    <x v="0"/>
    <x v="2"/>
    <n v="5"/>
    <x v="0"/>
    <x v="2"/>
    <n v="199"/>
    <x v="0"/>
    <x v="0"/>
  </r>
  <r>
    <x v="146"/>
    <x v="141"/>
    <n v="2024"/>
    <s v="Jun"/>
    <x v="2"/>
    <x v="0"/>
    <n v="26"/>
    <x v="0"/>
    <x v="1"/>
    <n v="199"/>
    <x v="5"/>
    <n v="27"/>
    <x v="2"/>
    <x v="3"/>
    <n v="16"/>
    <x v="0"/>
    <x v="0"/>
    <n v="199"/>
    <x v="2"/>
    <x v="0"/>
  </r>
  <r>
    <x v="147"/>
    <x v="124"/>
    <n v="2022"/>
    <s v="Jan"/>
    <x v="1"/>
    <x v="0"/>
    <n v="30"/>
    <x v="1"/>
    <x v="0"/>
    <n v="499"/>
    <x v="0"/>
    <n v="48"/>
    <x v="0"/>
    <x v="0"/>
    <n v="10"/>
    <x v="0"/>
    <x v="0"/>
    <n v="499"/>
    <x v="2"/>
    <x v="1"/>
  </r>
  <r>
    <x v="148"/>
    <x v="142"/>
    <n v="2022"/>
    <s v="Mar"/>
    <x v="2"/>
    <x v="2"/>
    <n v="54"/>
    <x v="1"/>
    <x v="1"/>
    <n v="199"/>
    <x v="2"/>
    <n v="44"/>
    <x v="2"/>
    <x v="1"/>
    <n v="3"/>
    <x v="0"/>
    <x v="2"/>
    <n v="199"/>
    <x v="0"/>
    <x v="1"/>
  </r>
  <r>
    <x v="149"/>
    <x v="139"/>
    <n v="2024"/>
    <s v="Jan"/>
    <x v="2"/>
    <x v="2"/>
    <n v="19"/>
    <x v="1"/>
    <x v="0"/>
    <n v="499"/>
    <x v="5"/>
    <n v="33"/>
    <x v="2"/>
    <x v="1"/>
    <n v="6"/>
    <x v="0"/>
    <x v="0"/>
    <n v="499"/>
    <x v="1"/>
    <x v="0"/>
  </r>
  <r>
    <x v="150"/>
    <x v="143"/>
    <n v="2023"/>
    <s v="Dec"/>
    <x v="3"/>
    <x v="1"/>
    <n v="47"/>
    <x v="0"/>
    <x v="2"/>
    <n v="649"/>
    <x v="0"/>
    <n v="51"/>
    <x v="0"/>
    <x v="1"/>
    <n v="29"/>
    <x v="0"/>
    <x v="1"/>
    <n v="649"/>
    <x v="0"/>
    <x v="3"/>
  </r>
  <r>
    <x v="151"/>
    <x v="144"/>
    <n v="2023"/>
    <s v="Dec"/>
    <x v="0"/>
    <x v="2"/>
    <n v="50"/>
    <x v="0"/>
    <x v="1"/>
    <n v="199"/>
    <x v="4"/>
    <n v="34"/>
    <x v="0"/>
    <x v="3"/>
    <n v="32"/>
    <x v="0"/>
    <x v="1"/>
    <n v="199"/>
    <x v="0"/>
    <x v="0"/>
  </r>
  <r>
    <x v="152"/>
    <x v="145"/>
    <n v="2023"/>
    <s v="Aug"/>
    <x v="1"/>
    <x v="2"/>
    <n v="35"/>
    <x v="1"/>
    <x v="2"/>
    <n v="649"/>
    <x v="2"/>
    <n v="23"/>
    <x v="3"/>
    <x v="2"/>
    <n v="39"/>
    <x v="0"/>
    <x v="0"/>
    <n v="649"/>
    <x v="3"/>
    <x v="0"/>
  </r>
  <r>
    <x v="153"/>
    <x v="146"/>
    <n v="2025"/>
    <s v="Aug"/>
    <x v="0"/>
    <x v="1"/>
    <n v="21"/>
    <x v="1"/>
    <x v="1"/>
    <n v="199"/>
    <x v="1"/>
    <n v="22"/>
    <x v="0"/>
    <x v="2"/>
    <n v="15"/>
    <x v="0"/>
    <x v="2"/>
    <n v="199"/>
    <x v="1"/>
    <x v="0"/>
  </r>
  <r>
    <x v="154"/>
    <x v="147"/>
    <n v="2024"/>
    <s v="May"/>
    <x v="0"/>
    <x v="1"/>
    <n v="52"/>
    <x v="0"/>
    <x v="1"/>
    <n v="199"/>
    <x v="3"/>
    <n v="47"/>
    <x v="2"/>
    <x v="0"/>
    <n v="48"/>
    <x v="0"/>
    <x v="0"/>
    <n v="199"/>
    <x v="0"/>
    <x v="1"/>
  </r>
  <r>
    <x v="155"/>
    <x v="148"/>
    <n v="2022"/>
    <s v="Oct"/>
    <x v="0"/>
    <x v="0"/>
    <n v="30"/>
    <x v="1"/>
    <x v="1"/>
    <n v="199"/>
    <x v="1"/>
    <n v="39"/>
    <x v="3"/>
    <x v="1"/>
    <n v="41"/>
    <x v="1"/>
    <x v="1"/>
    <n v="0"/>
    <x v="2"/>
    <x v="1"/>
  </r>
  <r>
    <x v="156"/>
    <x v="149"/>
    <n v="2024"/>
    <s v="Feb"/>
    <x v="0"/>
    <x v="0"/>
    <n v="20"/>
    <x v="0"/>
    <x v="1"/>
    <n v="199"/>
    <x v="7"/>
    <n v="53"/>
    <x v="1"/>
    <x v="3"/>
    <n v="15"/>
    <x v="0"/>
    <x v="0"/>
    <n v="199"/>
    <x v="1"/>
    <x v="3"/>
  </r>
  <r>
    <x v="157"/>
    <x v="150"/>
    <n v="2025"/>
    <s v="Apr"/>
    <x v="3"/>
    <x v="0"/>
    <n v="37"/>
    <x v="1"/>
    <x v="1"/>
    <n v="199"/>
    <x v="8"/>
    <n v="55"/>
    <x v="1"/>
    <x v="3"/>
    <n v="40"/>
    <x v="0"/>
    <x v="0"/>
    <n v="199"/>
    <x v="3"/>
    <x v="3"/>
  </r>
  <r>
    <x v="158"/>
    <x v="151"/>
    <n v="2023"/>
    <s v="Oct"/>
    <x v="3"/>
    <x v="0"/>
    <n v="33"/>
    <x v="1"/>
    <x v="1"/>
    <n v="199"/>
    <x v="3"/>
    <n v="30"/>
    <x v="3"/>
    <x v="2"/>
    <n v="14"/>
    <x v="0"/>
    <x v="0"/>
    <n v="199"/>
    <x v="2"/>
    <x v="0"/>
  </r>
  <r>
    <x v="159"/>
    <x v="26"/>
    <n v="2023"/>
    <s v="Apr"/>
    <x v="2"/>
    <x v="1"/>
    <n v="19"/>
    <x v="1"/>
    <x v="0"/>
    <n v="499"/>
    <x v="3"/>
    <n v="31"/>
    <x v="3"/>
    <x v="1"/>
    <n v="4"/>
    <x v="0"/>
    <x v="0"/>
    <n v="499"/>
    <x v="1"/>
    <x v="0"/>
  </r>
  <r>
    <x v="160"/>
    <x v="152"/>
    <n v="2022"/>
    <s v="Oct"/>
    <x v="2"/>
    <x v="2"/>
    <n v="30"/>
    <x v="1"/>
    <x v="2"/>
    <n v="649"/>
    <x v="0"/>
    <n v="24"/>
    <x v="0"/>
    <x v="3"/>
    <n v="10"/>
    <x v="0"/>
    <x v="2"/>
    <n v="649"/>
    <x v="2"/>
    <x v="0"/>
  </r>
  <r>
    <x v="161"/>
    <x v="153"/>
    <n v="2023"/>
    <s v="Mar"/>
    <x v="2"/>
    <x v="2"/>
    <n v="44"/>
    <x v="0"/>
    <x v="1"/>
    <n v="199"/>
    <x v="5"/>
    <n v="56"/>
    <x v="2"/>
    <x v="3"/>
    <n v="3"/>
    <x v="0"/>
    <x v="0"/>
    <n v="199"/>
    <x v="3"/>
    <x v="3"/>
  </r>
  <r>
    <x v="162"/>
    <x v="81"/>
    <n v="2025"/>
    <s v="Sep"/>
    <x v="3"/>
    <x v="0"/>
    <n v="22"/>
    <x v="0"/>
    <x v="0"/>
    <n v="499"/>
    <x v="0"/>
    <n v="51"/>
    <x v="1"/>
    <x v="1"/>
    <n v="9"/>
    <x v="0"/>
    <x v="1"/>
    <n v="499"/>
    <x v="1"/>
    <x v="3"/>
  </r>
  <r>
    <x v="163"/>
    <x v="77"/>
    <n v="2022"/>
    <s v="Apr"/>
    <x v="1"/>
    <x v="2"/>
    <n v="31"/>
    <x v="0"/>
    <x v="0"/>
    <n v="499"/>
    <x v="6"/>
    <n v="43"/>
    <x v="2"/>
    <x v="0"/>
    <n v="2"/>
    <x v="0"/>
    <x v="1"/>
    <n v="499"/>
    <x v="2"/>
    <x v="1"/>
  </r>
  <r>
    <x v="164"/>
    <x v="2"/>
    <n v="2025"/>
    <s v="Aug"/>
    <x v="3"/>
    <x v="0"/>
    <n v="32"/>
    <x v="0"/>
    <x v="1"/>
    <n v="199"/>
    <x v="6"/>
    <n v="44"/>
    <x v="1"/>
    <x v="3"/>
    <n v="31"/>
    <x v="0"/>
    <x v="1"/>
    <n v="199"/>
    <x v="2"/>
    <x v="1"/>
  </r>
  <r>
    <x v="165"/>
    <x v="154"/>
    <n v="2023"/>
    <s v="May"/>
    <x v="3"/>
    <x v="2"/>
    <n v="29"/>
    <x v="1"/>
    <x v="0"/>
    <n v="499"/>
    <x v="5"/>
    <n v="31"/>
    <x v="0"/>
    <x v="0"/>
    <n v="20"/>
    <x v="1"/>
    <x v="0"/>
    <n v="0"/>
    <x v="2"/>
    <x v="0"/>
  </r>
  <r>
    <x v="166"/>
    <x v="155"/>
    <n v="2025"/>
    <s v="May"/>
    <x v="0"/>
    <x v="2"/>
    <n v="42"/>
    <x v="0"/>
    <x v="2"/>
    <n v="649"/>
    <x v="3"/>
    <n v="45"/>
    <x v="1"/>
    <x v="1"/>
    <n v="23"/>
    <x v="0"/>
    <x v="0"/>
    <n v="649"/>
    <x v="3"/>
    <x v="1"/>
  </r>
  <r>
    <x v="167"/>
    <x v="156"/>
    <n v="2023"/>
    <s v="Sep"/>
    <x v="1"/>
    <x v="1"/>
    <n v="45"/>
    <x v="1"/>
    <x v="2"/>
    <n v="649"/>
    <x v="2"/>
    <n v="35"/>
    <x v="1"/>
    <x v="1"/>
    <n v="1"/>
    <x v="0"/>
    <x v="1"/>
    <n v="649"/>
    <x v="0"/>
    <x v="0"/>
  </r>
  <r>
    <x v="168"/>
    <x v="157"/>
    <n v="2022"/>
    <s v="Oct"/>
    <x v="3"/>
    <x v="2"/>
    <n v="44"/>
    <x v="0"/>
    <x v="1"/>
    <n v="199"/>
    <x v="5"/>
    <n v="23"/>
    <x v="0"/>
    <x v="0"/>
    <n v="23"/>
    <x v="0"/>
    <x v="0"/>
    <n v="199"/>
    <x v="3"/>
    <x v="0"/>
  </r>
  <r>
    <x v="169"/>
    <x v="158"/>
    <n v="2024"/>
    <s v="Sep"/>
    <x v="0"/>
    <x v="1"/>
    <n v="55"/>
    <x v="0"/>
    <x v="1"/>
    <n v="199"/>
    <x v="3"/>
    <n v="53"/>
    <x v="2"/>
    <x v="2"/>
    <n v="30"/>
    <x v="0"/>
    <x v="2"/>
    <n v="199"/>
    <x v="4"/>
    <x v="3"/>
  </r>
  <r>
    <x v="170"/>
    <x v="159"/>
    <n v="2024"/>
    <s v="Jan"/>
    <x v="2"/>
    <x v="1"/>
    <n v="42"/>
    <x v="1"/>
    <x v="2"/>
    <n v="649"/>
    <x v="2"/>
    <n v="59"/>
    <x v="3"/>
    <x v="3"/>
    <n v="6"/>
    <x v="0"/>
    <x v="2"/>
    <n v="649"/>
    <x v="3"/>
    <x v="3"/>
  </r>
  <r>
    <x v="171"/>
    <x v="160"/>
    <n v="2023"/>
    <s v="Apr"/>
    <x v="3"/>
    <x v="2"/>
    <n v="21"/>
    <x v="0"/>
    <x v="0"/>
    <n v="499"/>
    <x v="0"/>
    <n v="25"/>
    <x v="2"/>
    <x v="1"/>
    <n v="13"/>
    <x v="0"/>
    <x v="1"/>
    <n v="499"/>
    <x v="1"/>
    <x v="0"/>
  </r>
  <r>
    <x v="172"/>
    <x v="161"/>
    <n v="2025"/>
    <s v="Jul"/>
    <x v="3"/>
    <x v="2"/>
    <n v="27"/>
    <x v="0"/>
    <x v="0"/>
    <n v="499"/>
    <x v="5"/>
    <n v="46"/>
    <x v="3"/>
    <x v="1"/>
    <n v="43"/>
    <x v="0"/>
    <x v="1"/>
    <n v="499"/>
    <x v="2"/>
    <x v="1"/>
  </r>
  <r>
    <x v="173"/>
    <x v="162"/>
    <n v="2024"/>
    <s v="Nov"/>
    <x v="0"/>
    <x v="2"/>
    <n v="43"/>
    <x v="0"/>
    <x v="2"/>
    <n v="649"/>
    <x v="1"/>
    <n v="47"/>
    <x v="2"/>
    <x v="3"/>
    <n v="10"/>
    <x v="0"/>
    <x v="0"/>
    <n v="649"/>
    <x v="3"/>
    <x v="1"/>
  </r>
  <r>
    <x v="174"/>
    <x v="138"/>
    <n v="2022"/>
    <s v="Nov"/>
    <x v="1"/>
    <x v="0"/>
    <n v="28"/>
    <x v="1"/>
    <x v="0"/>
    <n v="499"/>
    <x v="4"/>
    <n v="29"/>
    <x v="1"/>
    <x v="1"/>
    <n v="34"/>
    <x v="0"/>
    <x v="0"/>
    <n v="499"/>
    <x v="2"/>
    <x v="0"/>
  </r>
  <r>
    <x v="175"/>
    <x v="163"/>
    <n v="2023"/>
    <s v="May"/>
    <x v="3"/>
    <x v="1"/>
    <n v="55"/>
    <x v="0"/>
    <x v="2"/>
    <n v="649"/>
    <x v="0"/>
    <n v="26"/>
    <x v="1"/>
    <x v="3"/>
    <n v="30"/>
    <x v="0"/>
    <x v="1"/>
    <n v="649"/>
    <x v="4"/>
    <x v="0"/>
  </r>
  <r>
    <x v="176"/>
    <x v="164"/>
    <n v="2025"/>
    <s v="Mar"/>
    <x v="0"/>
    <x v="0"/>
    <n v="22"/>
    <x v="0"/>
    <x v="0"/>
    <n v="499"/>
    <x v="2"/>
    <n v="29"/>
    <x v="3"/>
    <x v="0"/>
    <n v="23"/>
    <x v="0"/>
    <x v="2"/>
    <n v="499"/>
    <x v="1"/>
    <x v="0"/>
  </r>
  <r>
    <x v="177"/>
    <x v="165"/>
    <n v="2025"/>
    <s v="Oct"/>
    <x v="3"/>
    <x v="1"/>
    <n v="27"/>
    <x v="0"/>
    <x v="2"/>
    <n v="649"/>
    <x v="5"/>
    <n v="26"/>
    <x v="0"/>
    <x v="2"/>
    <n v="46"/>
    <x v="0"/>
    <x v="1"/>
    <n v="649"/>
    <x v="2"/>
    <x v="0"/>
  </r>
  <r>
    <x v="178"/>
    <x v="166"/>
    <n v="2023"/>
    <s v="Feb"/>
    <x v="3"/>
    <x v="2"/>
    <n v="42"/>
    <x v="0"/>
    <x v="2"/>
    <n v="649"/>
    <x v="0"/>
    <n v="39"/>
    <x v="3"/>
    <x v="0"/>
    <n v="37"/>
    <x v="0"/>
    <x v="0"/>
    <n v="649"/>
    <x v="3"/>
    <x v="1"/>
  </r>
  <r>
    <x v="179"/>
    <x v="167"/>
    <n v="2023"/>
    <s v="May"/>
    <x v="3"/>
    <x v="0"/>
    <n v="28"/>
    <x v="1"/>
    <x v="2"/>
    <n v="649"/>
    <x v="1"/>
    <n v="52"/>
    <x v="0"/>
    <x v="1"/>
    <n v="35"/>
    <x v="0"/>
    <x v="1"/>
    <n v="649"/>
    <x v="2"/>
    <x v="3"/>
  </r>
  <r>
    <x v="180"/>
    <x v="39"/>
    <n v="2024"/>
    <s v="Aug"/>
    <x v="0"/>
    <x v="0"/>
    <n v="30"/>
    <x v="1"/>
    <x v="2"/>
    <n v="649"/>
    <x v="5"/>
    <n v="25"/>
    <x v="3"/>
    <x v="1"/>
    <n v="37"/>
    <x v="0"/>
    <x v="1"/>
    <n v="649"/>
    <x v="2"/>
    <x v="0"/>
  </r>
  <r>
    <x v="181"/>
    <x v="168"/>
    <n v="2025"/>
    <s v="Oct"/>
    <x v="2"/>
    <x v="2"/>
    <n v="22"/>
    <x v="0"/>
    <x v="1"/>
    <n v="199"/>
    <x v="1"/>
    <n v="28"/>
    <x v="1"/>
    <x v="2"/>
    <n v="17"/>
    <x v="0"/>
    <x v="2"/>
    <n v="199"/>
    <x v="1"/>
    <x v="0"/>
  </r>
  <r>
    <x v="182"/>
    <x v="13"/>
    <n v="2024"/>
    <s v="Jun"/>
    <x v="1"/>
    <x v="0"/>
    <n v="42"/>
    <x v="1"/>
    <x v="1"/>
    <n v="199"/>
    <x v="7"/>
    <n v="55"/>
    <x v="0"/>
    <x v="3"/>
    <n v="39"/>
    <x v="0"/>
    <x v="2"/>
    <n v="199"/>
    <x v="3"/>
    <x v="3"/>
  </r>
  <r>
    <x v="183"/>
    <x v="169"/>
    <n v="2023"/>
    <s v="Apr"/>
    <x v="1"/>
    <x v="2"/>
    <n v="46"/>
    <x v="1"/>
    <x v="2"/>
    <n v="649"/>
    <x v="3"/>
    <n v="55"/>
    <x v="0"/>
    <x v="2"/>
    <n v="43"/>
    <x v="0"/>
    <x v="1"/>
    <n v="649"/>
    <x v="0"/>
    <x v="3"/>
  </r>
  <r>
    <x v="184"/>
    <x v="143"/>
    <n v="2023"/>
    <s v="Dec"/>
    <x v="3"/>
    <x v="2"/>
    <n v="26"/>
    <x v="0"/>
    <x v="2"/>
    <n v="649"/>
    <x v="0"/>
    <n v="46"/>
    <x v="0"/>
    <x v="2"/>
    <n v="27"/>
    <x v="0"/>
    <x v="0"/>
    <n v="649"/>
    <x v="2"/>
    <x v="1"/>
  </r>
  <r>
    <x v="185"/>
    <x v="170"/>
    <n v="2024"/>
    <s v="Nov"/>
    <x v="2"/>
    <x v="2"/>
    <n v="30"/>
    <x v="0"/>
    <x v="0"/>
    <n v="499"/>
    <x v="2"/>
    <n v="43"/>
    <x v="3"/>
    <x v="0"/>
    <n v="5"/>
    <x v="1"/>
    <x v="2"/>
    <n v="0"/>
    <x v="2"/>
    <x v="1"/>
  </r>
  <r>
    <x v="186"/>
    <x v="171"/>
    <n v="2023"/>
    <s v="Feb"/>
    <x v="3"/>
    <x v="2"/>
    <n v="30"/>
    <x v="0"/>
    <x v="0"/>
    <n v="499"/>
    <x v="3"/>
    <n v="51"/>
    <x v="0"/>
    <x v="1"/>
    <n v="12"/>
    <x v="0"/>
    <x v="1"/>
    <n v="499"/>
    <x v="2"/>
    <x v="3"/>
  </r>
  <r>
    <x v="187"/>
    <x v="172"/>
    <n v="2022"/>
    <s v="Apr"/>
    <x v="2"/>
    <x v="2"/>
    <n v="39"/>
    <x v="0"/>
    <x v="1"/>
    <n v="199"/>
    <x v="6"/>
    <n v="21"/>
    <x v="3"/>
    <x v="3"/>
    <n v="25"/>
    <x v="0"/>
    <x v="2"/>
    <n v="199"/>
    <x v="3"/>
    <x v="0"/>
  </r>
  <r>
    <x v="188"/>
    <x v="173"/>
    <n v="2025"/>
    <s v="Jul"/>
    <x v="0"/>
    <x v="0"/>
    <n v="54"/>
    <x v="1"/>
    <x v="1"/>
    <n v="199"/>
    <x v="1"/>
    <n v="22"/>
    <x v="1"/>
    <x v="1"/>
    <n v="2"/>
    <x v="0"/>
    <x v="2"/>
    <n v="199"/>
    <x v="0"/>
    <x v="0"/>
  </r>
  <r>
    <x v="189"/>
    <x v="174"/>
    <n v="2023"/>
    <s v="Mar"/>
    <x v="2"/>
    <x v="0"/>
    <n v="43"/>
    <x v="1"/>
    <x v="1"/>
    <n v="199"/>
    <x v="2"/>
    <n v="49"/>
    <x v="3"/>
    <x v="2"/>
    <n v="8"/>
    <x v="0"/>
    <x v="1"/>
    <n v="199"/>
    <x v="3"/>
    <x v="1"/>
  </r>
  <r>
    <x v="190"/>
    <x v="175"/>
    <n v="2024"/>
    <s v="Sep"/>
    <x v="0"/>
    <x v="0"/>
    <n v="26"/>
    <x v="1"/>
    <x v="0"/>
    <n v="499"/>
    <x v="7"/>
    <n v="58"/>
    <x v="0"/>
    <x v="2"/>
    <n v="8"/>
    <x v="0"/>
    <x v="1"/>
    <n v="499"/>
    <x v="2"/>
    <x v="3"/>
  </r>
  <r>
    <x v="191"/>
    <x v="176"/>
    <n v="2022"/>
    <s v="Feb"/>
    <x v="3"/>
    <x v="0"/>
    <n v="30"/>
    <x v="1"/>
    <x v="2"/>
    <n v="649"/>
    <x v="0"/>
    <n v="34"/>
    <x v="3"/>
    <x v="3"/>
    <n v="24"/>
    <x v="0"/>
    <x v="2"/>
    <n v="649"/>
    <x v="2"/>
    <x v="0"/>
  </r>
  <r>
    <x v="192"/>
    <x v="177"/>
    <n v="2023"/>
    <s v="Apr"/>
    <x v="1"/>
    <x v="2"/>
    <n v="33"/>
    <x v="0"/>
    <x v="2"/>
    <n v="649"/>
    <x v="3"/>
    <n v="39"/>
    <x v="1"/>
    <x v="2"/>
    <n v="23"/>
    <x v="0"/>
    <x v="2"/>
    <n v="649"/>
    <x v="2"/>
    <x v="1"/>
  </r>
  <r>
    <x v="193"/>
    <x v="178"/>
    <n v="2022"/>
    <s v="Dec"/>
    <x v="2"/>
    <x v="1"/>
    <n v="34"/>
    <x v="0"/>
    <x v="1"/>
    <n v="199"/>
    <x v="4"/>
    <n v="33"/>
    <x v="0"/>
    <x v="0"/>
    <n v="31"/>
    <x v="0"/>
    <x v="1"/>
    <n v="199"/>
    <x v="2"/>
    <x v="0"/>
  </r>
  <r>
    <x v="194"/>
    <x v="179"/>
    <n v="2023"/>
    <s v="Mar"/>
    <x v="1"/>
    <x v="2"/>
    <n v="25"/>
    <x v="0"/>
    <x v="1"/>
    <n v="199"/>
    <x v="3"/>
    <n v="48"/>
    <x v="3"/>
    <x v="0"/>
    <n v="36"/>
    <x v="0"/>
    <x v="0"/>
    <n v="199"/>
    <x v="2"/>
    <x v="1"/>
  </r>
  <r>
    <x v="195"/>
    <x v="180"/>
    <n v="2023"/>
    <s v="May"/>
    <x v="2"/>
    <x v="1"/>
    <n v="42"/>
    <x v="1"/>
    <x v="1"/>
    <n v="199"/>
    <x v="1"/>
    <n v="22"/>
    <x v="0"/>
    <x v="0"/>
    <n v="11"/>
    <x v="0"/>
    <x v="0"/>
    <n v="199"/>
    <x v="3"/>
    <x v="0"/>
  </r>
  <r>
    <x v="196"/>
    <x v="154"/>
    <n v="2023"/>
    <s v="May"/>
    <x v="0"/>
    <x v="2"/>
    <n v="24"/>
    <x v="1"/>
    <x v="1"/>
    <n v="199"/>
    <x v="3"/>
    <n v="35"/>
    <x v="1"/>
    <x v="0"/>
    <n v="45"/>
    <x v="0"/>
    <x v="0"/>
    <n v="199"/>
    <x v="1"/>
    <x v="0"/>
  </r>
  <r>
    <x v="197"/>
    <x v="181"/>
    <n v="2025"/>
    <s v="Jul"/>
    <x v="3"/>
    <x v="0"/>
    <n v="33"/>
    <x v="0"/>
    <x v="0"/>
    <n v="499"/>
    <x v="5"/>
    <n v="37"/>
    <x v="3"/>
    <x v="0"/>
    <n v="15"/>
    <x v="0"/>
    <x v="0"/>
    <n v="499"/>
    <x v="2"/>
    <x v="1"/>
  </r>
  <r>
    <x v="198"/>
    <x v="182"/>
    <n v="2025"/>
    <s v="Jul"/>
    <x v="2"/>
    <x v="0"/>
    <n v="49"/>
    <x v="0"/>
    <x v="0"/>
    <n v="499"/>
    <x v="3"/>
    <n v="56"/>
    <x v="0"/>
    <x v="0"/>
    <n v="27"/>
    <x v="0"/>
    <x v="0"/>
    <n v="499"/>
    <x v="0"/>
    <x v="3"/>
  </r>
  <r>
    <x v="199"/>
    <x v="183"/>
    <n v="2024"/>
    <s v="Feb"/>
    <x v="1"/>
    <x v="2"/>
    <n v="49"/>
    <x v="1"/>
    <x v="1"/>
    <n v="199"/>
    <x v="4"/>
    <n v="49"/>
    <x v="1"/>
    <x v="2"/>
    <n v="14"/>
    <x v="0"/>
    <x v="1"/>
    <n v="199"/>
    <x v="0"/>
    <x v="1"/>
  </r>
  <r>
    <x v="200"/>
    <x v="184"/>
    <n v="2025"/>
    <s v="Jul"/>
    <x v="0"/>
    <x v="1"/>
    <n v="33"/>
    <x v="0"/>
    <x v="1"/>
    <n v="199"/>
    <x v="0"/>
    <n v="51"/>
    <x v="0"/>
    <x v="3"/>
    <n v="10"/>
    <x v="0"/>
    <x v="0"/>
    <n v="199"/>
    <x v="2"/>
    <x v="3"/>
  </r>
  <r>
    <x v="201"/>
    <x v="185"/>
    <n v="2025"/>
    <s v="Feb"/>
    <x v="3"/>
    <x v="2"/>
    <n v="43"/>
    <x v="1"/>
    <x v="1"/>
    <n v="199"/>
    <x v="4"/>
    <n v="50"/>
    <x v="2"/>
    <x v="3"/>
    <n v="8"/>
    <x v="0"/>
    <x v="1"/>
    <n v="199"/>
    <x v="3"/>
    <x v="1"/>
  </r>
  <r>
    <x v="202"/>
    <x v="186"/>
    <n v="2024"/>
    <s v="Apr"/>
    <x v="1"/>
    <x v="2"/>
    <n v="30"/>
    <x v="0"/>
    <x v="0"/>
    <n v="499"/>
    <x v="5"/>
    <n v="51"/>
    <x v="3"/>
    <x v="1"/>
    <n v="4"/>
    <x v="0"/>
    <x v="1"/>
    <n v="499"/>
    <x v="2"/>
    <x v="3"/>
  </r>
  <r>
    <x v="203"/>
    <x v="187"/>
    <n v="2025"/>
    <s v="Jul"/>
    <x v="0"/>
    <x v="0"/>
    <n v="41"/>
    <x v="0"/>
    <x v="1"/>
    <n v="199"/>
    <x v="6"/>
    <n v="60"/>
    <x v="0"/>
    <x v="2"/>
    <n v="39"/>
    <x v="0"/>
    <x v="0"/>
    <n v="199"/>
    <x v="3"/>
    <x v="3"/>
  </r>
  <r>
    <x v="204"/>
    <x v="49"/>
    <n v="2023"/>
    <s v="Jul"/>
    <x v="1"/>
    <x v="0"/>
    <n v="34"/>
    <x v="1"/>
    <x v="1"/>
    <n v="199"/>
    <x v="1"/>
    <n v="56"/>
    <x v="0"/>
    <x v="1"/>
    <n v="7"/>
    <x v="0"/>
    <x v="1"/>
    <n v="199"/>
    <x v="2"/>
    <x v="3"/>
  </r>
  <r>
    <x v="205"/>
    <x v="188"/>
    <n v="2022"/>
    <s v="Dec"/>
    <x v="1"/>
    <x v="0"/>
    <n v="52"/>
    <x v="0"/>
    <x v="1"/>
    <n v="199"/>
    <x v="1"/>
    <n v="54"/>
    <x v="2"/>
    <x v="2"/>
    <n v="17"/>
    <x v="0"/>
    <x v="2"/>
    <n v="199"/>
    <x v="0"/>
    <x v="3"/>
  </r>
  <r>
    <x v="206"/>
    <x v="189"/>
    <n v="2022"/>
    <s v="Aug"/>
    <x v="3"/>
    <x v="2"/>
    <n v="44"/>
    <x v="1"/>
    <x v="0"/>
    <n v="499"/>
    <x v="7"/>
    <n v="49"/>
    <x v="1"/>
    <x v="1"/>
    <n v="39"/>
    <x v="0"/>
    <x v="1"/>
    <n v="499"/>
    <x v="3"/>
    <x v="1"/>
  </r>
  <r>
    <x v="207"/>
    <x v="190"/>
    <n v="2025"/>
    <s v="Jul"/>
    <x v="0"/>
    <x v="1"/>
    <n v="34"/>
    <x v="0"/>
    <x v="0"/>
    <n v="499"/>
    <x v="0"/>
    <n v="59"/>
    <x v="1"/>
    <x v="0"/>
    <n v="46"/>
    <x v="0"/>
    <x v="2"/>
    <n v="499"/>
    <x v="2"/>
    <x v="3"/>
  </r>
  <r>
    <x v="208"/>
    <x v="107"/>
    <n v="2023"/>
    <s v="Feb"/>
    <x v="1"/>
    <x v="1"/>
    <n v="36"/>
    <x v="1"/>
    <x v="1"/>
    <n v="199"/>
    <x v="1"/>
    <n v="42"/>
    <x v="0"/>
    <x v="0"/>
    <n v="5"/>
    <x v="0"/>
    <x v="1"/>
    <n v="199"/>
    <x v="3"/>
    <x v="1"/>
  </r>
  <r>
    <x v="209"/>
    <x v="191"/>
    <n v="2024"/>
    <s v="Aug"/>
    <x v="3"/>
    <x v="0"/>
    <n v="35"/>
    <x v="0"/>
    <x v="0"/>
    <n v="499"/>
    <x v="6"/>
    <n v="23"/>
    <x v="2"/>
    <x v="0"/>
    <n v="34"/>
    <x v="0"/>
    <x v="1"/>
    <n v="499"/>
    <x v="3"/>
    <x v="0"/>
  </r>
  <r>
    <x v="210"/>
    <x v="69"/>
    <n v="2023"/>
    <s v="Nov"/>
    <x v="1"/>
    <x v="1"/>
    <n v="42"/>
    <x v="0"/>
    <x v="0"/>
    <n v="499"/>
    <x v="6"/>
    <n v="57"/>
    <x v="1"/>
    <x v="0"/>
    <n v="5"/>
    <x v="1"/>
    <x v="2"/>
    <n v="0"/>
    <x v="3"/>
    <x v="3"/>
  </r>
  <r>
    <x v="211"/>
    <x v="192"/>
    <n v="2022"/>
    <s v="Jan"/>
    <x v="3"/>
    <x v="1"/>
    <n v="23"/>
    <x v="0"/>
    <x v="0"/>
    <n v="499"/>
    <x v="3"/>
    <n v="33"/>
    <x v="1"/>
    <x v="3"/>
    <n v="48"/>
    <x v="0"/>
    <x v="0"/>
    <n v="499"/>
    <x v="1"/>
    <x v="0"/>
  </r>
  <r>
    <x v="212"/>
    <x v="193"/>
    <n v="2023"/>
    <s v="Jan"/>
    <x v="1"/>
    <x v="0"/>
    <n v="37"/>
    <x v="0"/>
    <x v="1"/>
    <n v="199"/>
    <x v="5"/>
    <n v="38"/>
    <x v="3"/>
    <x v="2"/>
    <n v="31"/>
    <x v="0"/>
    <x v="0"/>
    <n v="199"/>
    <x v="3"/>
    <x v="1"/>
  </r>
  <r>
    <x v="213"/>
    <x v="72"/>
    <n v="2022"/>
    <s v="Jan"/>
    <x v="3"/>
    <x v="1"/>
    <n v="39"/>
    <x v="1"/>
    <x v="1"/>
    <n v="199"/>
    <x v="5"/>
    <n v="23"/>
    <x v="1"/>
    <x v="0"/>
    <n v="39"/>
    <x v="0"/>
    <x v="0"/>
    <n v="199"/>
    <x v="3"/>
    <x v="0"/>
  </r>
  <r>
    <x v="214"/>
    <x v="194"/>
    <n v="2025"/>
    <s v="May"/>
    <x v="1"/>
    <x v="2"/>
    <n v="37"/>
    <x v="0"/>
    <x v="1"/>
    <n v="199"/>
    <x v="0"/>
    <n v="41"/>
    <x v="0"/>
    <x v="2"/>
    <n v="31"/>
    <x v="0"/>
    <x v="1"/>
    <n v="199"/>
    <x v="3"/>
    <x v="1"/>
  </r>
  <r>
    <x v="215"/>
    <x v="195"/>
    <n v="2022"/>
    <s v="Oct"/>
    <x v="1"/>
    <x v="1"/>
    <n v="52"/>
    <x v="1"/>
    <x v="1"/>
    <n v="199"/>
    <x v="5"/>
    <n v="35"/>
    <x v="2"/>
    <x v="1"/>
    <n v="11"/>
    <x v="0"/>
    <x v="0"/>
    <n v="199"/>
    <x v="0"/>
    <x v="0"/>
  </r>
  <r>
    <x v="216"/>
    <x v="196"/>
    <n v="2023"/>
    <s v="Dec"/>
    <x v="2"/>
    <x v="1"/>
    <n v="23"/>
    <x v="1"/>
    <x v="1"/>
    <n v="199"/>
    <x v="4"/>
    <n v="59"/>
    <x v="2"/>
    <x v="3"/>
    <n v="26"/>
    <x v="0"/>
    <x v="2"/>
    <n v="199"/>
    <x v="1"/>
    <x v="3"/>
  </r>
  <r>
    <x v="217"/>
    <x v="183"/>
    <n v="2024"/>
    <s v="Feb"/>
    <x v="2"/>
    <x v="2"/>
    <n v="36"/>
    <x v="1"/>
    <x v="1"/>
    <n v="199"/>
    <x v="1"/>
    <n v="28"/>
    <x v="2"/>
    <x v="1"/>
    <n v="35"/>
    <x v="0"/>
    <x v="1"/>
    <n v="199"/>
    <x v="3"/>
    <x v="0"/>
  </r>
  <r>
    <x v="218"/>
    <x v="197"/>
    <n v="2022"/>
    <s v="Aug"/>
    <x v="2"/>
    <x v="1"/>
    <n v="25"/>
    <x v="0"/>
    <x v="2"/>
    <n v="649"/>
    <x v="7"/>
    <n v="52"/>
    <x v="1"/>
    <x v="0"/>
    <n v="45"/>
    <x v="0"/>
    <x v="1"/>
    <n v="649"/>
    <x v="2"/>
    <x v="3"/>
  </r>
  <r>
    <x v="219"/>
    <x v="50"/>
    <n v="2022"/>
    <s v="Feb"/>
    <x v="3"/>
    <x v="1"/>
    <n v="23"/>
    <x v="0"/>
    <x v="0"/>
    <n v="499"/>
    <x v="2"/>
    <n v="53"/>
    <x v="2"/>
    <x v="3"/>
    <n v="4"/>
    <x v="0"/>
    <x v="2"/>
    <n v="499"/>
    <x v="1"/>
    <x v="3"/>
  </r>
  <r>
    <x v="220"/>
    <x v="198"/>
    <n v="2022"/>
    <s v="Nov"/>
    <x v="0"/>
    <x v="1"/>
    <n v="35"/>
    <x v="0"/>
    <x v="0"/>
    <n v="499"/>
    <x v="7"/>
    <n v="23"/>
    <x v="2"/>
    <x v="1"/>
    <n v="9"/>
    <x v="0"/>
    <x v="0"/>
    <n v="499"/>
    <x v="3"/>
    <x v="0"/>
  </r>
  <r>
    <x v="221"/>
    <x v="199"/>
    <n v="2025"/>
    <s v="Nov"/>
    <x v="2"/>
    <x v="2"/>
    <n v="36"/>
    <x v="0"/>
    <x v="2"/>
    <n v="649"/>
    <x v="1"/>
    <n v="54"/>
    <x v="2"/>
    <x v="1"/>
    <n v="30"/>
    <x v="0"/>
    <x v="0"/>
    <n v="649"/>
    <x v="3"/>
    <x v="3"/>
  </r>
  <r>
    <x v="222"/>
    <x v="200"/>
    <n v="2023"/>
    <s v="Jul"/>
    <x v="2"/>
    <x v="2"/>
    <n v="26"/>
    <x v="1"/>
    <x v="0"/>
    <n v="499"/>
    <x v="2"/>
    <n v="35"/>
    <x v="3"/>
    <x v="0"/>
    <n v="35"/>
    <x v="0"/>
    <x v="1"/>
    <n v="499"/>
    <x v="2"/>
    <x v="0"/>
  </r>
  <r>
    <x v="223"/>
    <x v="24"/>
    <n v="2024"/>
    <s v="Aug"/>
    <x v="1"/>
    <x v="0"/>
    <n v="46"/>
    <x v="0"/>
    <x v="0"/>
    <n v="499"/>
    <x v="8"/>
    <n v="34"/>
    <x v="1"/>
    <x v="3"/>
    <n v="15"/>
    <x v="0"/>
    <x v="2"/>
    <n v="499"/>
    <x v="0"/>
    <x v="0"/>
  </r>
  <r>
    <x v="224"/>
    <x v="201"/>
    <n v="2022"/>
    <s v="Apr"/>
    <x v="3"/>
    <x v="1"/>
    <n v="45"/>
    <x v="0"/>
    <x v="2"/>
    <n v="649"/>
    <x v="1"/>
    <n v="53"/>
    <x v="0"/>
    <x v="3"/>
    <n v="22"/>
    <x v="0"/>
    <x v="0"/>
    <n v="649"/>
    <x v="0"/>
    <x v="3"/>
  </r>
  <r>
    <x v="225"/>
    <x v="202"/>
    <n v="2024"/>
    <s v="Dec"/>
    <x v="0"/>
    <x v="1"/>
    <n v="33"/>
    <x v="0"/>
    <x v="1"/>
    <n v="199"/>
    <x v="5"/>
    <n v="21"/>
    <x v="1"/>
    <x v="3"/>
    <n v="16"/>
    <x v="0"/>
    <x v="1"/>
    <n v="199"/>
    <x v="2"/>
    <x v="0"/>
  </r>
  <r>
    <x v="226"/>
    <x v="203"/>
    <n v="2023"/>
    <s v="Apr"/>
    <x v="2"/>
    <x v="1"/>
    <n v="52"/>
    <x v="0"/>
    <x v="0"/>
    <n v="499"/>
    <x v="4"/>
    <n v="25"/>
    <x v="0"/>
    <x v="0"/>
    <n v="42"/>
    <x v="0"/>
    <x v="0"/>
    <n v="499"/>
    <x v="0"/>
    <x v="0"/>
  </r>
  <r>
    <x v="227"/>
    <x v="204"/>
    <n v="2022"/>
    <s v="Feb"/>
    <x v="0"/>
    <x v="1"/>
    <n v="42"/>
    <x v="0"/>
    <x v="0"/>
    <n v="499"/>
    <x v="8"/>
    <n v="60"/>
    <x v="0"/>
    <x v="0"/>
    <n v="26"/>
    <x v="0"/>
    <x v="2"/>
    <n v="499"/>
    <x v="3"/>
    <x v="3"/>
  </r>
  <r>
    <x v="228"/>
    <x v="205"/>
    <n v="2024"/>
    <s v="Aug"/>
    <x v="3"/>
    <x v="1"/>
    <n v="38"/>
    <x v="0"/>
    <x v="1"/>
    <n v="199"/>
    <x v="2"/>
    <n v="46"/>
    <x v="3"/>
    <x v="2"/>
    <n v="13"/>
    <x v="1"/>
    <x v="0"/>
    <n v="0"/>
    <x v="3"/>
    <x v="1"/>
  </r>
  <r>
    <x v="229"/>
    <x v="206"/>
    <n v="2022"/>
    <s v="Jun"/>
    <x v="3"/>
    <x v="1"/>
    <n v="43"/>
    <x v="0"/>
    <x v="1"/>
    <n v="199"/>
    <x v="8"/>
    <n v="48"/>
    <x v="0"/>
    <x v="1"/>
    <n v="1"/>
    <x v="0"/>
    <x v="2"/>
    <n v="199"/>
    <x v="3"/>
    <x v="1"/>
  </r>
  <r>
    <x v="230"/>
    <x v="156"/>
    <n v="2023"/>
    <s v="Sep"/>
    <x v="1"/>
    <x v="1"/>
    <n v="36"/>
    <x v="1"/>
    <x v="0"/>
    <n v="499"/>
    <x v="2"/>
    <n v="51"/>
    <x v="1"/>
    <x v="3"/>
    <n v="46"/>
    <x v="0"/>
    <x v="0"/>
    <n v="499"/>
    <x v="3"/>
    <x v="3"/>
  </r>
  <r>
    <x v="231"/>
    <x v="207"/>
    <n v="2024"/>
    <s v="Jul"/>
    <x v="2"/>
    <x v="1"/>
    <n v="36"/>
    <x v="0"/>
    <x v="1"/>
    <n v="199"/>
    <x v="1"/>
    <n v="33"/>
    <x v="2"/>
    <x v="2"/>
    <n v="48"/>
    <x v="0"/>
    <x v="1"/>
    <n v="199"/>
    <x v="3"/>
    <x v="0"/>
  </r>
  <r>
    <x v="232"/>
    <x v="208"/>
    <n v="2024"/>
    <s v="Feb"/>
    <x v="2"/>
    <x v="1"/>
    <n v="38"/>
    <x v="1"/>
    <x v="2"/>
    <n v="649"/>
    <x v="1"/>
    <n v="46"/>
    <x v="1"/>
    <x v="3"/>
    <n v="37"/>
    <x v="1"/>
    <x v="0"/>
    <n v="0"/>
    <x v="3"/>
    <x v="1"/>
  </r>
  <r>
    <x v="233"/>
    <x v="209"/>
    <n v="2025"/>
    <s v="Jan"/>
    <x v="2"/>
    <x v="0"/>
    <n v="37"/>
    <x v="1"/>
    <x v="2"/>
    <n v="649"/>
    <x v="1"/>
    <n v="22"/>
    <x v="1"/>
    <x v="2"/>
    <n v="25"/>
    <x v="0"/>
    <x v="2"/>
    <n v="649"/>
    <x v="3"/>
    <x v="0"/>
  </r>
  <r>
    <x v="234"/>
    <x v="210"/>
    <n v="2024"/>
    <s v="Apr"/>
    <x v="1"/>
    <x v="0"/>
    <n v="25"/>
    <x v="0"/>
    <x v="2"/>
    <n v="649"/>
    <x v="3"/>
    <n v="36"/>
    <x v="0"/>
    <x v="1"/>
    <n v="33"/>
    <x v="0"/>
    <x v="0"/>
    <n v="649"/>
    <x v="2"/>
    <x v="1"/>
  </r>
  <r>
    <x v="235"/>
    <x v="130"/>
    <n v="2024"/>
    <s v="Feb"/>
    <x v="0"/>
    <x v="2"/>
    <n v="20"/>
    <x v="1"/>
    <x v="1"/>
    <n v="199"/>
    <x v="5"/>
    <n v="58"/>
    <x v="2"/>
    <x v="0"/>
    <n v="17"/>
    <x v="1"/>
    <x v="2"/>
    <n v="0"/>
    <x v="1"/>
    <x v="3"/>
  </r>
  <r>
    <x v="236"/>
    <x v="211"/>
    <n v="2024"/>
    <s v="Jun"/>
    <x v="3"/>
    <x v="0"/>
    <n v="25"/>
    <x v="1"/>
    <x v="0"/>
    <n v="499"/>
    <x v="3"/>
    <n v="29"/>
    <x v="3"/>
    <x v="0"/>
    <n v="37"/>
    <x v="0"/>
    <x v="1"/>
    <n v="499"/>
    <x v="2"/>
    <x v="0"/>
  </r>
  <r>
    <x v="237"/>
    <x v="212"/>
    <n v="2023"/>
    <s v="Jun"/>
    <x v="2"/>
    <x v="1"/>
    <n v="34"/>
    <x v="0"/>
    <x v="1"/>
    <n v="199"/>
    <x v="0"/>
    <n v="21"/>
    <x v="3"/>
    <x v="1"/>
    <n v="5"/>
    <x v="0"/>
    <x v="2"/>
    <n v="199"/>
    <x v="2"/>
    <x v="0"/>
  </r>
  <r>
    <x v="238"/>
    <x v="213"/>
    <n v="2023"/>
    <s v="Dec"/>
    <x v="3"/>
    <x v="0"/>
    <n v="23"/>
    <x v="0"/>
    <x v="1"/>
    <n v="199"/>
    <x v="5"/>
    <n v="41"/>
    <x v="2"/>
    <x v="3"/>
    <n v="18"/>
    <x v="0"/>
    <x v="2"/>
    <n v="199"/>
    <x v="1"/>
    <x v="1"/>
  </r>
  <r>
    <x v="239"/>
    <x v="186"/>
    <n v="2024"/>
    <s v="Apr"/>
    <x v="2"/>
    <x v="2"/>
    <n v="51"/>
    <x v="0"/>
    <x v="1"/>
    <n v="199"/>
    <x v="8"/>
    <n v="28"/>
    <x v="2"/>
    <x v="1"/>
    <n v="19"/>
    <x v="0"/>
    <x v="0"/>
    <n v="199"/>
    <x v="0"/>
    <x v="0"/>
  </r>
  <r>
    <x v="240"/>
    <x v="214"/>
    <n v="2023"/>
    <s v="Jul"/>
    <x v="1"/>
    <x v="2"/>
    <n v="37"/>
    <x v="0"/>
    <x v="0"/>
    <n v="499"/>
    <x v="0"/>
    <n v="31"/>
    <x v="3"/>
    <x v="2"/>
    <n v="6"/>
    <x v="0"/>
    <x v="2"/>
    <n v="499"/>
    <x v="3"/>
    <x v="0"/>
  </r>
  <r>
    <x v="241"/>
    <x v="215"/>
    <n v="2025"/>
    <s v="Mar"/>
    <x v="1"/>
    <x v="1"/>
    <n v="41"/>
    <x v="1"/>
    <x v="0"/>
    <n v="499"/>
    <x v="2"/>
    <n v="54"/>
    <x v="0"/>
    <x v="0"/>
    <n v="14"/>
    <x v="0"/>
    <x v="2"/>
    <n v="499"/>
    <x v="3"/>
    <x v="3"/>
  </r>
  <r>
    <x v="242"/>
    <x v="216"/>
    <n v="2024"/>
    <s v="Jun"/>
    <x v="0"/>
    <x v="0"/>
    <n v="27"/>
    <x v="1"/>
    <x v="2"/>
    <n v="649"/>
    <x v="2"/>
    <n v="40"/>
    <x v="3"/>
    <x v="1"/>
    <n v="11"/>
    <x v="0"/>
    <x v="1"/>
    <n v="649"/>
    <x v="2"/>
    <x v="1"/>
  </r>
  <r>
    <x v="243"/>
    <x v="217"/>
    <n v="2022"/>
    <s v="Nov"/>
    <x v="0"/>
    <x v="1"/>
    <n v="24"/>
    <x v="0"/>
    <x v="1"/>
    <n v="199"/>
    <x v="8"/>
    <n v="26"/>
    <x v="0"/>
    <x v="0"/>
    <n v="30"/>
    <x v="0"/>
    <x v="2"/>
    <n v="199"/>
    <x v="1"/>
    <x v="0"/>
  </r>
  <r>
    <x v="244"/>
    <x v="218"/>
    <n v="2025"/>
    <s v="Apr"/>
    <x v="3"/>
    <x v="2"/>
    <n v="35"/>
    <x v="1"/>
    <x v="0"/>
    <n v="499"/>
    <x v="4"/>
    <n v="36"/>
    <x v="2"/>
    <x v="3"/>
    <n v="6"/>
    <x v="0"/>
    <x v="1"/>
    <n v="499"/>
    <x v="3"/>
    <x v="1"/>
  </r>
  <r>
    <x v="245"/>
    <x v="219"/>
    <n v="2025"/>
    <s v="Dec"/>
    <x v="1"/>
    <x v="1"/>
    <n v="40"/>
    <x v="0"/>
    <x v="0"/>
    <n v="499"/>
    <x v="8"/>
    <n v="48"/>
    <x v="2"/>
    <x v="0"/>
    <n v="2"/>
    <x v="0"/>
    <x v="1"/>
    <n v="499"/>
    <x v="3"/>
    <x v="1"/>
  </r>
  <r>
    <x v="246"/>
    <x v="220"/>
    <n v="2025"/>
    <s v="Sep"/>
    <x v="1"/>
    <x v="2"/>
    <n v="48"/>
    <x v="1"/>
    <x v="1"/>
    <n v="199"/>
    <x v="3"/>
    <n v="40"/>
    <x v="2"/>
    <x v="2"/>
    <n v="46"/>
    <x v="0"/>
    <x v="0"/>
    <n v="199"/>
    <x v="0"/>
    <x v="1"/>
  </r>
  <r>
    <x v="247"/>
    <x v="221"/>
    <n v="2024"/>
    <s v="Feb"/>
    <x v="0"/>
    <x v="0"/>
    <n v="22"/>
    <x v="1"/>
    <x v="1"/>
    <n v="199"/>
    <x v="2"/>
    <n v="53"/>
    <x v="1"/>
    <x v="3"/>
    <n v="36"/>
    <x v="0"/>
    <x v="0"/>
    <n v="199"/>
    <x v="1"/>
    <x v="3"/>
  </r>
  <r>
    <x v="248"/>
    <x v="222"/>
    <n v="2024"/>
    <s v="Dec"/>
    <x v="1"/>
    <x v="1"/>
    <n v="55"/>
    <x v="0"/>
    <x v="1"/>
    <n v="199"/>
    <x v="4"/>
    <n v="33"/>
    <x v="0"/>
    <x v="2"/>
    <n v="39"/>
    <x v="0"/>
    <x v="2"/>
    <n v="199"/>
    <x v="4"/>
    <x v="0"/>
  </r>
  <r>
    <x v="249"/>
    <x v="223"/>
    <n v="2022"/>
    <s v="Mar"/>
    <x v="2"/>
    <x v="2"/>
    <n v="23"/>
    <x v="0"/>
    <x v="0"/>
    <n v="499"/>
    <x v="4"/>
    <n v="59"/>
    <x v="1"/>
    <x v="2"/>
    <n v="39"/>
    <x v="0"/>
    <x v="0"/>
    <n v="499"/>
    <x v="1"/>
    <x v="3"/>
  </r>
  <r>
    <x v="250"/>
    <x v="224"/>
    <n v="2024"/>
    <s v="Mar"/>
    <x v="0"/>
    <x v="1"/>
    <n v="29"/>
    <x v="0"/>
    <x v="1"/>
    <n v="199"/>
    <x v="7"/>
    <n v="42"/>
    <x v="3"/>
    <x v="3"/>
    <n v="9"/>
    <x v="0"/>
    <x v="0"/>
    <n v="199"/>
    <x v="2"/>
    <x v="1"/>
  </r>
  <r>
    <x v="251"/>
    <x v="225"/>
    <n v="2022"/>
    <s v="Oct"/>
    <x v="1"/>
    <x v="1"/>
    <n v="43"/>
    <x v="0"/>
    <x v="2"/>
    <n v="649"/>
    <x v="4"/>
    <n v="39"/>
    <x v="2"/>
    <x v="1"/>
    <n v="18"/>
    <x v="0"/>
    <x v="2"/>
    <n v="649"/>
    <x v="3"/>
    <x v="1"/>
  </r>
  <r>
    <x v="252"/>
    <x v="226"/>
    <n v="2022"/>
    <s v="Aug"/>
    <x v="3"/>
    <x v="0"/>
    <n v="50"/>
    <x v="1"/>
    <x v="1"/>
    <n v="199"/>
    <x v="1"/>
    <n v="29"/>
    <x v="3"/>
    <x v="1"/>
    <n v="36"/>
    <x v="0"/>
    <x v="0"/>
    <n v="199"/>
    <x v="0"/>
    <x v="0"/>
  </r>
  <r>
    <x v="253"/>
    <x v="227"/>
    <n v="2024"/>
    <s v="May"/>
    <x v="0"/>
    <x v="2"/>
    <n v="40"/>
    <x v="1"/>
    <x v="2"/>
    <n v="649"/>
    <x v="0"/>
    <n v="32"/>
    <x v="2"/>
    <x v="1"/>
    <n v="43"/>
    <x v="0"/>
    <x v="1"/>
    <n v="649"/>
    <x v="3"/>
    <x v="0"/>
  </r>
  <r>
    <x v="254"/>
    <x v="228"/>
    <n v="2023"/>
    <s v="Mar"/>
    <x v="2"/>
    <x v="2"/>
    <n v="26"/>
    <x v="0"/>
    <x v="2"/>
    <n v="649"/>
    <x v="2"/>
    <n v="32"/>
    <x v="1"/>
    <x v="2"/>
    <n v="42"/>
    <x v="0"/>
    <x v="2"/>
    <n v="649"/>
    <x v="2"/>
    <x v="0"/>
  </r>
  <r>
    <x v="255"/>
    <x v="225"/>
    <n v="2022"/>
    <s v="Oct"/>
    <x v="0"/>
    <x v="0"/>
    <n v="34"/>
    <x v="1"/>
    <x v="1"/>
    <n v="199"/>
    <x v="0"/>
    <n v="29"/>
    <x v="0"/>
    <x v="2"/>
    <n v="29"/>
    <x v="0"/>
    <x v="0"/>
    <n v="199"/>
    <x v="2"/>
    <x v="0"/>
  </r>
  <r>
    <x v="256"/>
    <x v="172"/>
    <n v="2022"/>
    <s v="Apr"/>
    <x v="2"/>
    <x v="0"/>
    <n v="30"/>
    <x v="0"/>
    <x v="0"/>
    <n v="499"/>
    <x v="5"/>
    <n v="23"/>
    <x v="3"/>
    <x v="3"/>
    <n v="21"/>
    <x v="0"/>
    <x v="0"/>
    <n v="499"/>
    <x v="2"/>
    <x v="0"/>
  </r>
  <r>
    <x v="257"/>
    <x v="229"/>
    <n v="2025"/>
    <s v="Feb"/>
    <x v="0"/>
    <x v="0"/>
    <n v="18"/>
    <x v="1"/>
    <x v="1"/>
    <n v="199"/>
    <x v="4"/>
    <n v="31"/>
    <x v="1"/>
    <x v="1"/>
    <n v="30"/>
    <x v="1"/>
    <x v="1"/>
    <n v="0"/>
    <x v="1"/>
    <x v="0"/>
  </r>
  <r>
    <x v="258"/>
    <x v="230"/>
    <n v="2024"/>
    <s v="Apr"/>
    <x v="3"/>
    <x v="1"/>
    <n v="39"/>
    <x v="1"/>
    <x v="1"/>
    <n v="199"/>
    <x v="8"/>
    <n v="32"/>
    <x v="3"/>
    <x v="1"/>
    <n v="39"/>
    <x v="1"/>
    <x v="3"/>
    <n v="0"/>
    <x v="3"/>
    <x v="0"/>
  </r>
  <r>
    <x v="259"/>
    <x v="231"/>
    <n v="2023"/>
    <s v="Feb"/>
    <x v="0"/>
    <x v="2"/>
    <n v="50"/>
    <x v="0"/>
    <x v="2"/>
    <n v="649"/>
    <x v="6"/>
    <n v="45"/>
    <x v="0"/>
    <x v="3"/>
    <n v="32"/>
    <x v="0"/>
    <x v="0"/>
    <n v="649"/>
    <x v="0"/>
    <x v="1"/>
  </r>
  <r>
    <x v="260"/>
    <x v="232"/>
    <n v="2024"/>
    <s v="Dec"/>
    <x v="1"/>
    <x v="1"/>
    <n v="28"/>
    <x v="0"/>
    <x v="1"/>
    <n v="199"/>
    <x v="6"/>
    <n v="44"/>
    <x v="1"/>
    <x v="1"/>
    <n v="47"/>
    <x v="0"/>
    <x v="2"/>
    <n v="199"/>
    <x v="2"/>
    <x v="1"/>
  </r>
  <r>
    <x v="261"/>
    <x v="233"/>
    <n v="2025"/>
    <s v="Dec"/>
    <x v="0"/>
    <x v="2"/>
    <n v="39"/>
    <x v="0"/>
    <x v="1"/>
    <n v="199"/>
    <x v="4"/>
    <n v="43"/>
    <x v="2"/>
    <x v="3"/>
    <n v="31"/>
    <x v="0"/>
    <x v="2"/>
    <n v="199"/>
    <x v="3"/>
    <x v="1"/>
  </r>
  <r>
    <x v="262"/>
    <x v="234"/>
    <n v="2022"/>
    <s v="Apr"/>
    <x v="2"/>
    <x v="0"/>
    <n v="32"/>
    <x v="0"/>
    <x v="0"/>
    <n v="499"/>
    <x v="6"/>
    <n v="25"/>
    <x v="1"/>
    <x v="0"/>
    <n v="3"/>
    <x v="0"/>
    <x v="0"/>
    <n v="499"/>
    <x v="2"/>
    <x v="0"/>
  </r>
  <r>
    <x v="263"/>
    <x v="235"/>
    <n v="2023"/>
    <s v="Oct"/>
    <x v="3"/>
    <x v="1"/>
    <n v="24"/>
    <x v="0"/>
    <x v="1"/>
    <n v="199"/>
    <x v="2"/>
    <n v="32"/>
    <x v="2"/>
    <x v="1"/>
    <n v="22"/>
    <x v="0"/>
    <x v="0"/>
    <n v="199"/>
    <x v="1"/>
    <x v="0"/>
  </r>
  <r>
    <x v="264"/>
    <x v="236"/>
    <n v="2023"/>
    <s v="Oct"/>
    <x v="3"/>
    <x v="0"/>
    <n v="28"/>
    <x v="0"/>
    <x v="0"/>
    <n v="499"/>
    <x v="4"/>
    <n v="25"/>
    <x v="2"/>
    <x v="3"/>
    <n v="33"/>
    <x v="0"/>
    <x v="0"/>
    <n v="499"/>
    <x v="2"/>
    <x v="0"/>
  </r>
  <r>
    <x v="265"/>
    <x v="237"/>
    <n v="2025"/>
    <s v="Apr"/>
    <x v="0"/>
    <x v="0"/>
    <n v="48"/>
    <x v="0"/>
    <x v="0"/>
    <n v="499"/>
    <x v="4"/>
    <n v="40"/>
    <x v="2"/>
    <x v="2"/>
    <n v="1"/>
    <x v="0"/>
    <x v="1"/>
    <n v="499"/>
    <x v="0"/>
    <x v="1"/>
  </r>
  <r>
    <x v="266"/>
    <x v="238"/>
    <n v="2023"/>
    <s v="Jun"/>
    <x v="2"/>
    <x v="1"/>
    <n v="34"/>
    <x v="0"/>
    <x v="1"/>
    <n v="199"/>
    <x v="0"/>
    <n v="25"/>
    <x v="3"/>
    <x v="3"/>
    <n v="17"/>
    <x v="0"/>
    <x v="0"/>
    <n v="199"/>
    <x v="2"/>
    <x v="0"/>
  </r>
  <r>
    <x v="267"/>
    <x v="239"/>
    <n v="2024"/>
    <s v="Jun"/>
    <x v="3"/>
    <x v="2"/>
    <n v="43"/>
    <x v="0"/>
    <x v="0"/>
    <n v="499"/>
    <x v="6"/>
    <n v="30"/>
    <x v="0"/>
    <x v="1"/>
    <n v="26"/>
    <x v="0"/>
    <x v="1"/>
    <n v="499"/>
    <x v="3"/>
    <x v="0"/>
  </r>
  <r>
    <x v="268"/>
    <x v="187"/>
    <n v="2025"/>
    <s v="Jul"/>
    <x v="0"/>
    <x v="1"/>
    <n v="42"/>
    <x v="1"/>
    <x v="0"/>
    <n v="499"/>
    <x v="2"/>
    <n v="47"/>
    <x v="2"/>
    <x v="0"/>
    <n v="43"/>
    <x v="0"/>
    <x v="2"/>
    <n v="499"/>
    <x v="3"/>
    <x v="1"/>
  </r>
  <r>
    <x v="269"/>
    <x v="191"/>
    <n v="2024"/>
    <s v="Aug"/>
    <x v="0"/>
    <x v="2"/>
    <n v="55"/>
    <x v="0"/>
    <x v="2"/>
    <n v="649"/>
    <x v="4"/>
    <n v="60"/>
    <x v="2"/>
    <x v="2"/>
    <n v="42"/>
    <x v="0"/>
    <x v="1"/>
    <n v="649"/>
    <x v="4"/>
    <x v="3"/>
  </r>
  <r>
    <x v="270"/>
    <x v="240"/>
    <n v="2025"/>
    <s v="Mar"/>
    <x v="3"/>
    <x v="2"/>
    <n v="32"/>
    <x v="1"/>
    <x v="1"/>
    <n v="199"/>
    <x v="7"/>
    <n v="52"/>
    <x v="3"/>
    <x v="3"/>
    <n v="2"/>
    <x v="0"/>
    <x v="0"/>
    <n v="199"/>
    <x v="2"/>
    <x v="3"/>
  </r>
  <r>
    <x v="271"/>
    <x v="241"/>
    <n v="2025"/>
    <s v="Dec"/>
    <x v="2"/>
    <x v="2"/>
    <n v="29"/>
    <x v="1"/>
    <x v="0"/>
    <n v="499"/>
    <x v="7"/>
    <n v="46"/>
    <x v="1"/>
    <x v="3"/>
    <n v="8"/>
    <x v="0"/>
    <x v="0"/>
    <n v="499"/>
    <x v="2"/>
    <x v="1"/>
  </r>
  <r>
    <x v="272"/>
    <x v="242"/>
    <n v="2023"/>
    <s v="Dec"/>
    <x v="2"/>
    <x v="0"/>
    <n v="38"/>
    <x v="1"/>
    <x v="1"/>
    <n v="199"/>
    <x v="4"/>
    <n v="27"/>
    <x v="1"/>
    <x v="1"/>
    <n v="11"/>
    <x v="0"/>
    <x v="2"/>
    <n v="199"/>
    <x v="3"/>
    <x v="0"/>
  </r>
  <r>
    <x v="273"/>
    <x v="243"/>
    <n v="2022"/>
    <s v="Dec"/>
    <x v="3"/>
    <x v="0"/>
    <n v="40"/>
    <x v="0"/>
    <x v="2"/>
    <n v="649"/>
    <x v="1"/>
    <n v="30"/>
    <x v="1"/>
    <x v="1"/>
    <n v="19"/>
    <x v="0"/>
    <x v="0"/>
    <n v="649"/>
    <x v="3"/>
    <x v="0"/>
  </r>
  <r>
    <x v="274"/>
    <x v="244"/>
    <n v="2024"/>
    <s v="Aug"/>
    <x v="1"/>
    <x v="0"/>
    <n v="46"/>
    <x v="1"/>
    <x v="0"/>
    <n v="499"/>
    <x v="8"/>
    <n v="33"/>
    <x v="1"/>
    <x v="2"/>
    <n v="38"/>
    <x v="0"/>
    <x v="0"/>
    <n v="499"/>
    <x v="0"/>
    <x v="0"/>
  </r>
  <r>
    <x v="275"/>
    <x v="10"/>
    <n v="2023"/>
    <s v="Jan"/>
    <x v="2"/>
    <x v="0"/>
    <n v="31"/>
    <x v="1"/>
    <x v="0"/>
    <n v="499"/>
    <x v="8"/>
    <n v="35"/>
    <x v="3"/>
    <x v="0"/>
    <n v="26"/>
    <x v="0"/>
    <x v="0"/>
    <n v="499"/>
    <x v="2"/>
    <x v="0"/>
  </r>
  <r>
    <x v="276"/>
    <x v="245"/>
    <n v="2024"/>
    <s v="Jun"/>
    <x v="2"/>
    <x v="0"/>
    <n v="20"/>
    <x v="1"/>
    <x v="0"/>
    <n v="499"/>
    <x v="6"/>
    <n v="33"/>
    <x v="3"/>
    <x v="0"/>
    <n v="42"/>
    <x v="0"/>
    <x v="0"/>
    <n v="499"/>
    <x v="1"/>
    <x v="0"/>
  </r>
  <r>
    <x v="277"/>
    <x v="246"/>
    <n v="2025"/>
    <s v="Sep"/>
    <x v="0"/>
    <x v="0"/>
    <n v="21"/>
    <x v="1"/>
    <x v="0"/>
    <n v="499"/>
    <x v="6"/>
    <n v="56"/>
    <x v="1"/>
    <x v="1"/>
    <n v="44"/>
    <x v="0"/>
    <x v="2"/>
    <n v="499"/>
    <x v="1"/>
    <x v="3"/>
  </r>
  <r>
    <x v="278"/>
    <x v="247"/>
    <n v="2022"/>
    <s v="Nov"/>
    <x v="3"/>
    <x v="2"/>
    <n v="49"/>
    <x v="0"/>
    <x v="0"/>
    <n v="499"/>
    <x v="7"/>
    <n v="33"/>
    <x v="3"/>
    <x v="1"/>
    <n v="7"/>
    <x v="0"/>
    <x v="1"/>
    <n v="499"/>
    <x v="0"/>
    <x v="0"/>
  </r>
  <r>
    <x v="279"/>
    <x v="144"/>
    <n v="2023"/>
    <s v="Dec"/>
    <x v="0"/>
    <x v="0"/>
    <n v="19"/>
    <x v="1"/>
    <x v="0"/>
    <n v="499"/>
    <x v="3"/>
    <n v="20"/>
    <x v="1"/>
    <x v="3"/>
    <n v="16"/>
    <x v="0"/>
    <x v="1"/>
    <n v="499"/>
    <x v="1"/>
    <x v="2"/>
  </r>
  <r>
    <x v="280"/>
    <x v="99"/>
    <n v="2024"/>
    <s v="Nov"/>
    <x v="2"/>
    <x v="2"/>
    <n v="19"/>
    <x v="0"/>
    <x v="1"/>
    <n v="199"/>
    <x v="3"/>
    <n v="47"/>
    <x v="1"/>
    <x v="0"/>
    <n v="5"/>
    <x v="0"/>
    <x v="0"/>
    <n v="199"/>
    <x v="1"/>
    <x v="1"/>
  </r>
  <r>
    <x v="281"/>
    <x v="248"/>
    <n v="2025"/>
    <s v="Jun"/>
    <x v="0"/>
    <x v="2"/>
    <n v="49"/>
    <x v="0"/>
    <x v="1"/>
    <n v="199"/>
    <x v="2"/>
    <n v="25"/>
    <x v="0"/>
    <x v="2"/>
    <n v="6"/>
    <x v="1"/>
    <x v="3"/>
    <n v="0"/>
    <x v="0"/>
    <x v="0"/>
  </r>
  <r>
    <x v="282"/>
    <x v="249"/>
    <n v="2024"/>
    <s v="Jul"/>
    <x v="2"/>
    <x v="0"/>
    <n v="54"/>
    <x v="1"/>
    <x v="1"/>
    <n v="199"/>
    <x v="3"/>
    <n v="42"/>
    <x v="0"/>
    <x v="2"/>
    <n v="35"/>
    <x v="0"/>
    <x v="1"/>
    <n v="199"/>
    <x v="0"/>
    <x v="1"/>
  </r>
  <r>
    <x v="283"/>
    <x v="49"/>
    <n v="2023"/>
    <s v="Jul"/>
    <x v="0"/>
    <x v="1"/>
    <n v="33"/>
    <x v="0"/>
    <x v="0"/>
    <n v="499"/>
    <x v="3"/>
    <n v="25"/>
    <x v="3"/>
    <x v="1"/>
    <n v="44"/>
    <x v="0"/>
    <x v="1"/>
    <n v="499"/>
    <x v="2"/>
    <x v="0"/>
  </r>
  <r>
    <x v="284"/>
    <x v="250"/>
    <n v="2025"/>
    <s v="Jul"/>
    <x v="2"/>
    <x v="2"/>
    <n v="28"/>
    <x v="0"/>
    <x v="1"/>
    <n v="199"/>
    <x v="8"/>
    <n v="23"/>
    <x v="0"/>
    <x v="2"/>
    <n v="13"/>
    <x v="0"/>
    <x v="2"/>
    <n v="199"/>
    <x v="2"/>
    <x v="0"/>
  </r>
  <r>
    <x v="285"/>
    <x v="251"/>
    <n v="2022"/>
    <s v="Oct"/>
    <x v="3"/>
    <x v="1"/>
    <n v="28"/>
    <x v="0"/>
    <x v="1"/>
    <n v="199"/>
    <x v="2"/>
    <n v="56"/>
    <x v="3"/>
    <x v="2"/>
    <n v="37"/>
    <x v="0"/>
    <x v="2"/>
    <n v="199"/>
    <x v="2"/>
    <x v="3"/>
  </r>
  <r>
    <x v="286"/>
    <x v="252"/>
    <n v="2023"/>
    <s v="Jul"/>
    <x v="3"/>
    <x v="2"/>
    <n v="51"/>
    <x v="1"/>
    <x v="1"/>
    <n v="199"/>
    <x v="6"/>
    <n v="59"/>
    <x v="2"/>
    <x v="0"/>
    <n v="21"/>
    <x v="0"/>
    <x v="0"/>
    <n v="199"/>
    <x v="0"/>
    <x v="3"/>
  </r>
  <r>
    <x v="287"/>
    <x v="63"/>
    <n v="2025"/>
    <s v="Jan"/>
    <x v="1"/>
    <x v="1"/>
    <n v="26"/>
    <x v="0"/>
    <x v="0"/>
    <n v="499"/>
    <x v="5"/>
    <n v="48"/>
    <x v="0"/>
    <x v="3"/>
    <n v="21"/>
    <x v="0"/>
    <x v="2"/>
    <n v="499"/>
    <x v="2"/>
    <x v="1"/>
  </r>
  <r>
    <x v="288"/>
    <x v="253"/>
    <n v="2022"/>
    <s v="Oct"/>
    <x v="3"/>
    <x v="1"/>
    <n v="27"/>
    <x v="0"/>
    <x v="2"/>
    <n v="649"/>
    <x v="3"/>
    <n v="42"/>
    <x v="2"/>
    <x v="1"/>
    <n v="20"/>
    <x v="0"/>
    <x v="1"/>
    <n v="649"/>
    <x v="2"/>
    <x v="1"/>
  </r>
  <r>
    <x v="289"/>
    <x v="254"/>
    <n v="2022"/>
    <s v="Apr"/>
    <x v="0"/>
    <x v="0"/>
    <n v="44"/>
    <x v="1"/>
    <x v="0"/>
    <n v="499"/>
    <x v="4"/>
    <n v="21"/>
    <x v="2"/>
    <x v="0"/>
    <n v="36"/>
    <x v="0"/>
    <x v="2"/>
    <n v="499"/>
    <x v="3"/>
    <x v="0"/>
  </r>
  <r>
    <x v="290"/>
    <x v="255"/>
    <n v="2025"/>
    <s v="Sep"/>
    <x v="2"/>
    <x v="1"/>
    <n v="25"/>
    <x v="1"/>
    <x v="1"/>
    <n v="199"/>
    <x v="0"/>
    <n v="52"/>
    <x v="0"/>
    <x v="3"/>
    <n v="45"/>
    <x v="0"/>
    <x v="1"/>
    <n v="199"/>
    <x v="2"/>
    <x v="3"/>
  </r>
  <r>
    <x v="291"/>
    <x v="33"/>
    <n v="2025"/>
    <s v="May"/>
    <x v="0"/>
    <x v="1"/>
    <n v="26"/>
    <x v="0"/>
    <x v="1"/>
    <n v="199"/>
    <x v="3"/>
    <n v="44"/>
    <x v="1"/>
    <x v="0"/>
    <n v="4"/>
    <x v="0"/>
    <x v="2"/>
    <n v="199"/>
    <x v="2"/>
    <x v="1"/>
  </r>
  <r>
    <x v="292"/>
    <x v="256"/>
    <n v="2025"/>
    <s v="Jan"/>
    <x v="1"/>
    <x v="0"/>
    <n v="39"/>
    <x v="1"/>
    <x v="0"/>
    <n v="499"/>
    <x v="2"/>
    <n v="27"/>
    <x v="3"/>
    <x v="0"/>
    <n v="25"/>
    <x v="0"/>
    <x v="1"/>
    <n v="499"/>
    <x v="3"/>
    <x v="0"/>
  </r>
  <r>
    <x v="293"/>
    <x v="257"/>
    <n v="2024"/>
    <s v="Dec"/>
    <x v="1"/>
    <x v="0"/>
    <n v="50"/>
    <x v="1"/>
    <x v="2"/>
    <n v="649"/>
    <x v="5"/>
    <n v="29"/>
    <x v="2"/>
    <x v="3"/>
    <n v="24"/>
    <x v="0"/>
    <x v="2"/>
    <n v="649"/>
    <x v="0"/>
    <x v="0"/>
  </r>
  <r>
    <x v="294"/>
    <x v="258"/>
    <n v="2023"/>
    <s v="Jul"/>
    <x v="0"/>
    <x v="2"/>
    <n v="19"/>
    <x v="0"/>
    <x v="0"/>
    <n v="499"/>
    <x v="4"/>
    <n v="22"/>
    <x v="3"/>
    <x v="0"/>
    <n v="48"/>
    <x v="0"/>
    <x v="0"/>
    <n v="499"/>
    <x v="1"/>
    <x v="0"/>
  </r>
  <r>
    <x v="295"/>
    <x v="259"/>
    <n v="2025"/>
    <s v="Sep"/>
    <x v="3"/>
    <x v="0"/>
    <n v="34"/>
    <x v="1"/>
    <x v="2"/>
    <n v="649"/>
    <x v="1"/>
    <n v="31"/>
    <x v="0"/>
    <x v="1"/>
    <n v="24"/>
    <x v="0"/>
    <x v="2"/>
    <n v="649"/>
    <x v="2"/>
    <x v="0"/>
  </r>
  <r>
    <x v="296"/>
    <x v="260"/>
    <n v="2023"/>
    <s v="Mar"/>
    <x v="2"/>
    <x v="2"/>
    <n v="44"/>
    <x v="1"/>
    <x v="0"/>
    <n v="499"/>
    <x v="2"/>
    <n v="30"/>
    <x v="2"/>
    <x v="2"/>
    <n v="3"/>
    <x v="0"/>
    <x v="0"/>
    <n v="499"/>
    <x v="3"/>
    <x v="0"/>
  </r>
  <r>
    <x v="297"/>
    <x v="169"/>
    <n v="2023"/>
    <s v="Apr"/>
    <x v="2"/>
    <x v="0"/>
    <n v="20"/>
    <x v="1"/>
    <x v="1"/>
    <n v="199"/>
    <x v="8"/>
    <n v="35"/>
    <x v="1"/>
    <x v="0"/>
    <n v="15"/>
    <x v="0"/>
    <x v="2"/>
    <n v="199"/>
    <x v="1"/>
    <x v="0"/>
  </r>
  <r>
    <x v="298"/>
    <x v="261"/>
    <n v="2022"/>
    <s v="Oct"/>
    <x v="2"/>
    <x v="1"/>
    <n v="27"/>
    <x v="0"/>
    <x v="2"/>
    <n v="649"/>
    <x v="4"/>
    <n v="32"/>
    <x v="0"/>
    <x v="3"/>
    <n v="6"/>
    <x v="0"/>
    <x v="1"/>
    <n v="649"/>
    <x v="2"/>
    <x v="0"/>
  </r>
  <r>
    <x v="299"/>
    <x v="9"/>
    <n v="2024"/>
    <s v="Sep"/>
    <x v="1"/>
    <x v="1"/>
    <n v="28"/>
    <x v="1"/>
    <x v="2"/>
    <n v="649"/>
    <x v="6"/>
    <n v="24"/>
    <x v="2"/>
    <x v="2"/>
    <n v="27"/>
    <x v="0"/>
    <x v="1"/>
    <n v="649"/>
    <x v="2"/>
    <x v="0"/>
  </r>
  <r>
    <x v="300"/>
    <x v="262"/>
    <n v="2022"/>
    <s v="Mar"/>
    <x v="1"/>
    <x v="2"/>
    <n v="48"/>
    <x v="1"/>
    <x v="2"/>
    <n v="649"/>
    <x v="6"/>
    <n v="24"/>
    <x v="0"/>
    <x v="0"/>
    <n v="37"/>
    <x v="0"/>
    <x v="0"/>
    <n v="649"/>
    <x v="0"/>
    <x v="0"/>
  </r>
  <r>
    <x v="301"/>
    <x v="58"/>
    <n v="2023"/>
    <s v="Jun"/>
    <x v="3"/>
    <x v="0"/>
    <n v="42"/>
    <x v="0"/>
    <x v="0"/>
    <n v="499"/>
    <x v="0"/>
    <n v="29"/>
    <x v="1"/>
    <x v="0"/>
    <n v="12"/>
    <x v="0"/>
    <x v="2"/>
    <n v="499"/>
    <x v="3"/>
    <x v="0"/>
  </r>
  <r>
    <x v="302"/>
    <x v="263"/>
    <n v="2025"/>
    <s v="Mar"/>
    <x v="1"/>
    <x v="0"/>
    <n v="52"/>
    <x v="1"/>
    <x v="0"/>
    <n v="499"/>
    <x v="1"/>
    <n v="32"/>
    <x v="0"/>
    <x v="2"/>
    <n v="7"/>
    <x v="0"/>
    <x v="2"/>
    <n v="499"/>
    <x v="0"/>
    <x v="0"/>
  </r>
  <r>
    <x v="303"/>
    <x v="90"/>
    <n v="2024"/>
    <s v="Sep"/>
    <x v="0"/>
    <x v="2"/>
    <n v="36"/>
    <x v="0"/>
    <x v="1"/>
    <n v="199"/>
    <x v="0"/>
    <n v="22"/>
    <x v="3"/>
    <x v="1"/>
    <n v="18"/>
    <x v="0"/>
    <x v="0"/>
    <n v="199"/>
    <x v="3"/>
    <x v="0"/>
  </r>
  <r>
    <x v="304"/>
    <x v="264"/>
    <n v="2023"/>
    <s v="Jun"/>
    <x v="2"/>
    <x v="2"/>
    <n v="29"/>
    <x v="1"/>
    <x v="0"/>
    <n v="499"/>
    <x v="0"/>
    <n v="30"/>
    <x v="2"/>
    <x v="0"/>
    <n v="40"/>
    <x v="0"/>
    <x v="2"/>
    <n v="499"/>
    <x v="2"/>
    <x v="0"/>
  </r>
  <r>
    <x v="305"/>
    <x v="11"/>
    <n v="2023"/>
    <s v="Aug"/>
    <x v="2"/>
    <x v="1"/>
    <n v="52"/>
    <x v="1"/>
    <x v="2"/>
    <n v="649"/>
    <x v="2"/>
    <n v="26"/>
    <x v="3"/>
    <x v="1"/>
    <n v="3"/>
    <x v="0"/>
    <x v="2"/>
    <n v="649"/>
    <x v="0"/>
    <x v="0"/>
  </r>
  <r>
    <x v="306"/>
    <x v="265"/>
    <n v="2022"/>
    <s v="Nov"/>
    <x v="0"/>
    <x v="2"/>
    <n v="41"/>
    <x v="0"/>
    <x v="1"/>
    <n v="199"/>
    <x v="7"/>
    <n v="27"/>
    <x v="0"/>
    <x v="3"/>
    <n v="6"/>
    <x v="0"/>
    <x v="1"/>
    <n v="199"/>
    <x v="3"/>
    <x v="0"/>
  </r>
  <r>
    <x v="307"/>
    <x v="266"/>
    <n v="2023"/>
    <s v="Jun"/>
    <x v="3"/>
    <x v="0"/>
    <n v="38"/>
    <x v="0"/>
    <x v="0"/>
    <n v="499"/>
    <x v="7"/>
    <n v="54"/>
    <x v="1"/>
    <x v="1"/>
    <n v="39"/>
    <x v="0"/>
    <x v="1"/>
    <n v="499"/>
    <x v="3"/>
    <x v="3"/>
  </r>
  <r>
    <x v="308"/>
    <x v="267"/>
    <n v="2023"/>
    <s v="Jan"/>
    <x v="1"/>
    <x v="1"/>
    <n v="24"/>
    <x v="1"/>
    <x v="0"/>
    <n v="499"/>
    <x v="6"/>
    <n v="27"/>
    <x v="0"/>
    <x v="2"/>
    <n v="7"/>
    <x v="0"/>
    <x v="0"/>
    <n v="499"/>
    <x v="1"/>
    <x v="0"/>
  </r>
  <r>
    <x v="309"/>
    <x v="268"/>
    <n v="2022"/>
    <s v="Sep"/>
    <x v="2"/>
    <x v="1"/>
    <n v="35"/>
    <x v="0"/>
    <x v="0"/>
    <n v="499"/>
    <x v="1"/>
    <n v="44"/>
    <x v="2"/>
    <x v="1"/>
    <n v="32"/>
    <x v="0"/>
    <x v="2"/>
    <n v="499"/>
    <x v="3"/>
    <x v="1"/>
  </r>
  <r>
    <x v="310"/>
    <x v="269"/>
    <n v="2022"/>
    <s v="May"/>
    <x v="3"/>
    <x v="1"/>
    <n v="40"/>
    <x v="1"/>
    <x v="0"/>
    <n v="499"/>
    <x v="3"/>
    <n v="56"/>
    <x v="2"/>
    <x v="3"/>
    <n v="30"/>
    <x v="0"/>
    <x v="1"/>
    <n v="499"/>
    <x v="3"/>
    <x v="3"/>
  </r>
  <r>
    <x v="311"/>
    <x v="270"/>
    <n v="2025"/>
    <s v="Jul"/>
    <x v="0"/>
    <x v="0"/>
    <n v="44"/>
    <x v="0"/>
    <x v="0"/>
    <n v="499"/>
    <x v="0"/>
    <n v="43"/>
    <x v="3"/>
    <x v="2"/>
    <n v="24"/>
    <x v="0"/>
    <x v="2"/>
    <n v="499"/>
    <x v="3"/>
    <x v="1"/>
  </r>
  <r>
    <x v="312"/>
    <x v="271"/>
    <n v="2022"/>
    <s v="Jan"/>
    <x v="1"/>
    <x v="0"/>
    <n v="40"/>
    <x v="0"/>
    <x v="1"/>
    <n v="199"/>
    <x v="7"/>
    <n v="56"/>
    <x v="0"/>
    <x v="2"/>
    <n v="40"/>
    <x v="0"/>
    <x v="1"/>
    <n v="199"/>
    <x v="3"/>
    <x v="3"/>
  </r>
  <r>
    <x v="313"/>
    <x v="272"/>
    <n v="2022"/>
    <s v="Nov"/>
    <x v="2"/>
    <x v="1"/>
    <n v="37"/>
    <x v="1"/>
    <x v="0"/>
    <n v="499"/>
    <x v="0"/>
    <n v="53"/>
    <x v="2"/>
    <x v="0"/>
    <n v="19"/>
    <x v="0"/>
    <x v="1"/>
    <n v="499"/>
    <x v="3"/>
    <x v="3"/>
  </r>
  <r>
    <x v="314"/>
    <x v="273"/>
    <n v="2022"/>
    <s v="Jul"/>
    <x v="3"/>
    <x v="1"/>
    <n v="29"/>
    <x v="1"/>
    <x v="0"/>
    <n v="499"/>
    <x v="5"/>
    <n v="32"/>
    <x v="2"/>
    <x v="1"/>
    <n v="35"/>
    <x v="0"/>
    <x v="0"/>
    <n v="499"/>
    <x v="2"/>
    <x v="0"/>
  </r>
  <r>
    <x v="315"/>
    <x v="274"/>
    <n v="2022"/>
    <s v="Dec"/>
    <x v="3"/>
    <x v="1"/>
    <n v="39"/>
    <x v="0"/>
    <x v="2"/>
    <n v="649"/>
    <x v="5"/>
    <n v="29"/>
    <x v="2"/>
    <x v="1"/>
    <n v="12"/>
    <x v="0"/>
    <x v="1"/>
    <n v="649"/>
    <x v="3"/>
    <x v="0"/>
  </r>
  <r>
    <x v="316"/>
    <x v="98"/>
    <n v="2024"/>
    <s v="Apr"/>
    <x v="1"/>
    <x v="1"/>
    <n v="26"/>
    <x v="1"/>
    <x v="1"/>
    <n v="199"/>
    <x v="8"/>
    <n v="30"/>
    <x v="0"/>
    <x v="3"/>
    <n v="5"/>
    <x v="0"/>
    <x v="2"/>
    <n v="199"/>
    <x v="2"/>
    <x v="0"/>
  </r>
  <r>
    <x v="317"/>
    <x v="275"/>
    <n v="2025"/>
    <s v="Jul"/>
    <x v="0"/>
    <x v="2"/>
    <n v="42"/>
    <x v="0"/>
    <x v="0"/>
    <n v="499"/>
    <x v="2"/>
    <n v="49"/>
    <x v="2"/>
    <x v="0"/>
    <n v="42"/>
    <x v="0"/>
    <x v="1"/>
    <n v="499"/>
    <x v="3"/>
    <x v="1"/>
  </r>
  <r>
    <x v="318"/>
    <x v="276"/>
    <n v="2022"/>
    <s v="Nov"/>
    <x v="0"/>
    <x v="1"/>
    <n v="43"/>
    <x v="0"/>
    <x v="1"/>
    <n v="199"/>
    <x v="5"/>
    <n v="26"/>
    <x v="3"/>
    <x v="3"/>
    <n v="2"/>
    <x v="1"/>
    <x v="2"/>
    <n v="0"/>
    <x v="3"/>
    <x v="0"/>
  </r>
  <r>
    <x v="319"/>
    <x v="277"/>
    <n v="2025"/>
    <s v="Nov"/>
    <x v="1"/>
    <x v="1"/>
    <n v="30"/>
    <x v="1"/>
    <x v="0"/>
    <n v="499"/>
    <x v="1"/>
    <n v="32"/>
    <x v="1"/>
    <x v="2"/>
    <n v="26"/>
    <x v="0"/>
    <x v="0"/>
    <n v="499"/>
    <x v="2"/>
    <x v="0"/>
  </r>
  <r>
    <x v="320"/>
    <x v="278"/>
    <n v="2023"/>
    <s v="Oct"/>
    <x v="2"/>
    <x v="2"/>
    <n v="46"/>
    <x v="1"/>
    <x v="0"/>
    <n v="499"/>
    <x v="4"/>
    <n v="21"/>
    <x v="3"/>
    <x v="3"/>
    <n v="29"/>
    <x v="0"/>
    <x v="2"/>
    <n v="499"/>
    <x v="0"/>
    <x v="0"/>
  </r>
  <r>
    <x v="321"/>
    <x v="279"/>
    <n v="2023"/>
    <s v="Mar"/>
    <x v="2"/>
    <x v="1"/>
    <n v="19"/>
    <x v="1"/>
    <x v="1"/>
    <n v="199"/>
    <x v="1"/>
    <n v="51"/>
    <x v="0"/>
    <x v="1"/>
    <n v="6"/>
    <x v="0"/>
    <x v="0"/>
    <n v="199"/>
    <x v="1"/>
    <x v="3"/>
  </r>
  <r>
    <x v="322"/>
    <x v="54"/>
    <n v="2025"/>
    <s v="Aug"/>
    <x v="1"/>
    <x v="1"/>
    <n v="43"/>
    <x v="0"/>
    <x v="1"/>
    <n v="199"/>
    <x v="4"/>
    <n v="24"/>
    <x v="0"/>
    <x v="2"/>
    <n v="38"/>
    <x v="0"/>
    <x v="2"/>
    <n v="199"/>
    <x v="3"/>
    <x v="0"/>
  </r>
  <r>
    <x v="323"/>
    <x v="280"/>
    <n v="2022"/>
    <s v="Oct"/>
    <x v="1"/>
    <x v="1"/>
    <n v="41"/>
    <x v="0"/>
    <x v="1"/>
    <n v="199"/>
    <x v="7"/>
    <n v="50"/>
    <x v="2"/>
    <x v="0"/>
    <n v="4"/>
    <x v="0"/>
    <x v="0"/>
    <n v="199"/>
    <x v="3"/>
    <x v="1"/>
  </r>
  <r>
    <x v="324"/>
    <x v="281"/>
    <n v="2022"/>
    <s v="Sep"/>
    <x v="1"/>
    <x v="1"/>
    <n v="51"/>
    <x v="0"/>
    <x v="2"/>
    <n v="649"/>
    <x v="4"/>
    <n v="45"/>
    <x v="3"/>
    <x v="2"/>
    <n v="30"/>
    <x v="0"/>
    <x v="2"/>
    <n v="649"/>
    <x v="0"/>
    <x v="1"/>
  </r>
  <r>
    <x v="325"/>
    <x v="187"/>
    <n v="2025"/>
    <s v="Jul"/>
    <x v="2"/>
    <x v="2"/>
    <n v="50"/>
    <x v="0"/>
    <x v="2"/>
    <n v="649"/>
    <x v="2"/>
    <n v="42"/>
    <x v="3"/>
    <x v="3"/>
    <n v="26"/>
    <x v="0"/>
    <x v="1"/>
    <n v="649"/>
    <x v="0"/>
    <x v="1"/>
  </r>
  <r>
    <x v="326"/>
    <x v="282"/>
    <n v="2025"/>
    <s v="Jan"/>
    <x v="2"/>
    <x v="1"/>
    <n v="55"/>
    <x v="1"/>
    <x v="0"/>
    <n v="499"/>
    <x v="0"/>
    <n v="50"/>
    <x v="0"/>
    <x v="3"/>
    <n v="1"/>
    <x v="0"/>
    <x v="2"/>
    <n v="499"/>
    <x v="4"/>
    <x v="1"/>
  </r>
  <r>
    <x v="327"/>
    <x v="283"/>
    <n v="2024"/>
    <s v="Nov"/>
    <x v="3"/>
    <x v="2"/>
    <n v="19"/>
    <x v="1"/>
    <x v="0"/>
    <n v="499"/>
    <x v="2"/>
    <n v="24"/>
    <x v="2"/>
    <x v="3"/>
    <n v="2"/>
    <x v="0"/>
    <x v="0"/>
    <n v="499"/>
    <x v="1"/>
    <x v="0"/>
  </r>
  <r>
    <x v="328"/>
    <x v="73"/>
    <n v="2023"/>
    <s v="Sep"/>
    <x v="0"/>
    <x v="1"/>
    <n v="49"/>
    <x v="0"/>
    <x v="2"/>
    <n v="649"/>
    <x v="1"/>
    <n v="35"/>
    <x v="1"/>
    <x v="2"/>
    <n v="48"/>
    <x v="0"/>
    <x v="1"/>
    <n v="649"/>
    <x v="0"/>
    <x v="0"/>
  </r>
  <r>
    <x v="329"/>
    <x v="49"/>
    <n v="2023"/>
    <s v="Jul"/>
    <x v="0"/>
    <x v="2"/>
    <n v="39"/>
    <x v="0"/>
    <x v="1"/>
    <n v="199"/>
    <x v="4"/>
    <n v="46"/>
    <x v="3"/>
    <x v="2"/>
    <n v="1"/>
    <x v="0"/>
    <x v="0"/>
    <n v="199"/>
    <x v="3"/>
    <x v="1"/>
  </r>
  <r>
    <x v="330"/>
    <x v="284"/>
    <n v="2024"/>
    <s v="Oct"/>
    <x v="3"/>
    <x v="2"/>
    <n v="53"/>
    <x v="0"/>
    <x v="0"/>
    <n v="499"/>
    <x v="0"/>
    <n v="30"/>
    <x v="2"/>
    <x v="2"/>
    <n v="31"/>
    <x v="0"/>
    <x v="1"/>
    <n v="499"/>
    <x v="0"/>
    <x v="0"/>
  </r>
  <r>
    <x v="331"/>
    <x v="285"/>
    <n v="2025"/>
    <s v="Nov"/>
    <x v="1"/>
    <x v="2"/>
    <n v="38"/>
    <x v="0"/>
    <x v="0"/>
    <n v="499"/>
    <x v="3"/>
    <n v="53"/>
    <x v="0"/>
    <x v="3"/>
    <n v="19"/>
    <x v="0"/>
    <x v="1"/>
    <n v="499"/>
    <x v="3"/>
    <x v="3"/>
  </r>
  <r>
    <x v="332"/>
    <x v="286"/>
    <n v="2024"/>
    <s v="Mar"/>
    <x v="3"/>
    <x v="0"/>
    <n v="45"/>
    <x v="0"/>
    <x v="1"/>
    <n v="199"/>
    <x v="8"/>
    <n v="54"/>
    <x v="3"/>
    <x v="3"/>
    <n v="21"/>
    <x v="0"/>
    <x v="1"/>
    <n v="199"/>
    <x v="0"/>
    <x v="3"/>
  </r>
  <r>
    <x v="333"/>
    <x v="287"/>
    <n v="2024"/>
    <s v="Jun"/>
    <x v="0"/>
    <x v="1"/>
    <n v="48"/>
    <x v="1"/>
    <x v="1"/>
    <n v="199"/>
    <x v="3"/>
    <n v="58"/>
    <x v="3"/>
    <x v="0"/>
    <n v="5"/>
    <x v="0"/>
    <x v="0"/>
    <n v="199"/>
    <x v="0"/>
    <x v="3"/>
  </r>
  <r>
    <x v="334"/>
    <x v="288"/>
    <n v="2025"/>
    <s v="Mar"/>
    <x v="1"/>
    <x v="2"/>
    <n v="18"/>
    <x v="0"/>
    <x v="2"/>
    <n v="649"/>
    <x v="8"/>
    <n v="40"/>
    <x v="0"/>
    <x v="1"/>
    <n v="22"/>
    <x v="0"/>
    <x v="2"/>
    <n v="649"/>
    <x v="1"/>
    <x v="1"/>
  </r>
  <r>
    <x v="335"/>
    <x v="289"/>
    <n v="2025"/>
    <s v="Oct"/>
    <x v="2"/>
    <x v="0"/>
    <n v="44"/>
    <x v="0"/>
    <x v="2"/>
    <n v="649"/>
    <x v="0"/>
    <n v="54"/>
    <x v="0"/>
    <x v="3"/>
    <n v="36"/>
    <x v="0"/>
    <x v="2"/>
    <n v="649"/>
    <x v="3"/>
    <x v="3"/>
  </r>
  <r>
    <x v="336"/>
    <x v="290"/>
    <n v="2022"/>
    <s v="Sep"/>
    <x v="1"/>
    <x v="2"/>
    <n v="37"/>
    <x v="0"/>
    <x v="0"/>
    <n v="499"/>
    <x v="0"/>
    <n v="52"/>
    <x v="3"/>
    <x v="2"/>
    <n v="35"/>
    <x v="0"/>
    <x v="0"/>
    <n v="499"/>
    <x v="3"/>
    <x v="3"/>
  </r>
  <r>
    <x v="337"/>
    <x v="291"/>
    <n v="2025"/>
    <s v="Jul"/>
    <x v="2"/>
    <x v="1"/>
    <n v="40"/>
    <x v="1"/>
    <x v="1"/>
    <n v="199"/>
    <x v="1"/>
    <n v="36"/>
    <x v="3"/>
    <x v="0"/>
    <n v="33"/>
    <x v="0"/>
    <x v="0"/>
    <n v="199"/>
    <x v="3"/>
    <x v="1"/>
  </r>
  <r>
    <x v="338"/>
    <x v="292"/>
    <n v="2025"/>
    <s v="Jan"/>
    <x v="2"/>
    <x v="0"/>
    <n v="53"/>
    <x v="1"/>
    <x v="0"/>
    <n v="499"/>
    <x v="6"/>
    <n v="39"/>
    <x v="0"/>
    <x v="1"/>
    <n v="35"/>
    <x v="0"/>
    <x v="0"/>
    <n v="499"/>
    <x v="0"/>
    <x v="1"/>
  </r>
  <r>
    <x v="339"/>
    <x v="293"/>
    <n v="2024"/>
    <s v="Feb"/>
    <x v="2"/>
    <x v="2"/>
    <n v="41"/>
    <x v="1"/>
    <x v="1"/>
    <n v="199"/>
    <x v="3"/>
    <n v="37"/>
    <x v="3"/>
    <x v="1"/>
    <n v="39"/>
    <x v="1"/>
    <x v="3"/>
    <n v="0"/>
    <x v="3"/>
    <x v="1"/>
  </r>
  <r>
    <x v="340"/>
    <x v="294"/>
    <n v="2024"/>
    <s v="Dec"/>
    <x v="2"/>
    <x v="1"/>
    <n v="27"/>
    <x v="1"/>
    <x v="0"/>
    <n v="499"/>
    <x v="3"/>
    <n v="48"/>
    <x v="0"/>
    <x v="3"/>
    <n v="6"/>
    <x v="1"/>
    <x v="0"/>
    <n v="0"/>
    <x v="2"/>
    <x v="1"/>
  </r>
  <r>
    <x v="341"/>
    <x v="295"/>
    <n v="2023"/>
    <s v="Dec"/>
    <x v="3"/>
    <x v="0"/>
    <n v="46"/>
    <x v="0"/>
    <x v="1"/>
    <n v="199"/>
    <x v="4"/>
    <n v="45"/>
    <x v="2"/>
    <x v="0"/>
    <n v="25"/>
    <x v="0"/>
    <x v="1"/>
    <n v="199"/>
    <x v="0"/>
    <x v="1"/>
  </r>
  <r>
    <x v="342"/>
    <x v="241"/>
    <n v="2025"/>
    <s v="Dec"/>
    <x v="3"/>
    <x v="2"/>
    <n v="25"/>
    <x v="1"/>
    <x v="0"/>
    <n v="499"/>
    <x v="1"/>
    <n v="25"/>
    <x v="2"/>
    <x v="3"/>
    <n v="10"/>
    <x v="0"/>
    <x v="1"/>
    <n v="499"/>
    <x v="2"/>
    <x v="0"/>
  </r>
  <r>
    <x v="343"/>
    <x v="296"/>
    <n v="2024"/>
    <s v="Feb"/>
    <x v="0"/>
    <x v="1"/>
    <n v="34"/>
    <x v="1"/>
    <x v="2"/>
    <n v="649"/>
    <x v="6"/>
    <n v="49"/>
    <x v="1"/>
    <x v="1"/>
    <n v="27"/>
    <x v="0"/>
    <x v="2"/>
    <n v="649"/>
    <x v="2"/>
    <x v="1"/>
  </r>
  <r>
    <x v="344"/>
    <x v="297"/>
    <n v="2025"/>
    <s v="Jun"/>
    <x v="3"/>
    <x v="1"/>
    <n v="42"/>
    <x v="1"/>
    <x v="0"/>
    <n v="499"/>
    <x v="7"/>
    <n v="36"/>
    <x v="1"/>
    <x v="3"/>
    <n v="27"/>
    <x v="0"/>
    <x v="0"/>
    <n v="499"/>
    <x v="3"/>
    <x v="1"/>
  </r>
  <r>
    <x v="345"/>
    <x v="298"/>
    <n v="2025"/>
    <s v="Jan"/>
    <x v="1"/>
    <x v="1"/>
    <n v="37"/>
    <x v="1"/>
    <x v="1"/>
    <n v="199"/>
    <x v="4"/>
    <n v="31"/>
    <x v="2"/>
    <x v="1"/>
    <n v="6"/>
    <x v="0"/>
    <x v="0"/>
    <n v="199"/>
    <x v="3"/>
    <x v="0"/>
  </r>
  <r>
    <x v="346"/>
    <x v="299"/>
    <n v="2022"/>
    <s v="Jul"/>
    <x v="3"/>
    <x v="0"/>
    <n v="24"/>
    <x v="1"/>
    <x v="2"/>
    <n v="649"/>
    <x v="2"/>
    <n v="41"/>
    <x v="0"/>
    <x v="0"/>
    <n v="17"/>
    <x v="0"/>
    <x v="1"/>
    <n v="649"/>
    <x v="1"/>
    <x v="1"/>
  </r>
  <r>
    <x v="347"/>
    <x v="300"/>
    <n v="2024"/>
    <s v="Feb"/>
    <x v="3"/>
    <x v="2"/>
    <n v="43"/>
    <x v="1"/>
    <x v="0"/>
    <n v="499"/>
    <x v="2"/>
    <n v="39"/>
    <x v="1"/>
    <x v="2"/>
    <n v="17"/>
    <x v="0"/>
    <x v="0"/>
    <n v="499"/>
    <x v="3"/>
    <x v="1"/>
  </r>
  <r>
    <x v="348"/>
    <x v="189"/>
    <n v="2022"/>
    <s v="Aug"/>
    <x v="3"/>
    <x v="2"/>
    <n v="23"/>
    <x v="1"/>
    <x v="1"/>
    <n v="199"/>
    <x v="5"/>
    <n v="53"/>
    <x v="3"/>
    <x v="0"/>
    <n v="43"/>
    <x v="0"/>
    <x v="0"/>
    <n v="199"/>
    <x v="1"/>
    <x v="3"/>
  </r>
  <r>
    <x v="349"/>
    <x v="301"/>
    <n v="2025"/>
    <s v="Aug"/>
    <x v="2"/>
    <x v="0"/>
    <n v="26"/>
    <x v="1"/>
    <x v="0"/>
    <n v="499"/>
    <x v="6"/>
    <n v="42"/>
    <x v="3"/>
    <x v="0"/>
    <n v="31"/>
    <x v="0"/>
    <x v="2"/>
    <n v="499"/>
    <x v="2"/>
    <x v="1"/>
  </r>
  <r>
    <x v="350"/>
    <x v="302"/>
    <n v="2025"/>
    <s v="Feb"/>
    <x v="3"/>
    <x v="1"/>
    <n v="40"/>
    <x v="1"/>
    <x v="2"/>
    <n v="649"/>
    <x v="5"/>
    <n v="39"/>
    <x v="2"/>
    <x v="2"/>
    <n v="3"/>
    <x v="0"/>
    <x v="1"/>
    <n v="649"/>
    <x v="3"/>
    <x v="1"/>
  </r>
  <r>
    <x v="351"/>
    <x v="303"/>
    <n v="2024"/>
    <s v="Apr"/>
    <x v="3"/>
    <x v="2"/>
    <n v="35"/>
    <x v="1"/>
    <x v="0"/>
    <n v="499"/>
    <x v="4"/>
    <n v="49"/>
    <x v="2"/>
    <x v="0"/>
    <n v="21"/>
    <x v="0"/>
    <x v="0"/>
    <n v="499"/>
    <x v="3"/>
    <x v="1"/>
  </r>
  <r>
    <x v="352"/>
    <x v="304"/>
    <n v="2023"/>
    <s v="Dec"/>
    <x v="3"/>
    <x v="0"/>
    <n v="37"/>
    <x v="0"/>
    <x v="1"/>
    <n v="199"/>
    <x v="0"/>
    <n v="50"/>
    <x v="2"/>
    <x v="2"/>
    <n v="48"/>
    <x v="0"/>
    <x v="1"/>
    <n v="199"/>
    <x v="3"/>
    <x v="1"/>
  </r>
  <r>
    <x v="353"/>
    <x v="305"/>
    <n v="2022"/>
    <s v="Oct"/>
    <x v="3"/>
    <x v="2"/>
    <n v="45"/>
    <x v="0"/>
    <x v="2"/>
    <n v="649"/>
    <x v="6"/>
    <n v="20"/>
    <x v="2"/>
    <x v="2"/>
    <n v="16"/>
    <x v="0"/>
    <x v="2"/>
    <n v="649"/>
    <x v="0"/>
    <x v="2"/>
  </r>
  <r>
    <x v="354"/>
    <x v="58"/>
    <n v="2023"/>
    <s v="Jun"/>
    <x v="3"/>
    <x v="2"/>
    <n v="36"/>
    <x v="0"/>
    <x v="2"/>
    <n v="649"/>
    <x v="0"/>
    <n v="21"/>
    <x v="1"/>
    <x v="0"/>
    <n v="1"/>
    <x v="1"/>
    <x v="2"/>
    <n v="0"/>
    <x v="3"/>
    <x v="0"/>
  </r>
  <r>
    <x v="355"/>
    <x v="306"/>
    <n v="2022"/>
    <s v="Oct"/>
    <x v="3"/>
    <x v="1"/>
    <n v="18"/>
    <x v="0"/>
    <x v="1"/>
    <n v="199"/>
    <x v="2"/>
    <n v="53"/>
    <x v="3"/>
    <x v="2"/>
    <n v="25"/>
    <x v="0"/>
    <x v="0"/>
    <n v="199"/>
    <x v="1"/>
    <x v="3"/>
  </r>
  <r>
    <x v="356"/>
    <x v="307"/>
    <n v="2023"/>
    <s v="Jun"/>
    <x v="0"/>
    <x v="0"/>
    <n v="22"/>
    <x v="0"/>
    <x v="1"/>
    <n v="199"/>
    <x v="7"/>
    <n v="42"/>
    <x v="0"/>
    <x v="0"/>
    <n v="4"/>
    <x v="0"/>
    <x v="0"/>
    <n v="199"/>
    <x v="1"/>
    <x v="1"/>
  </r>
  <r>
    <x v="357"/>
    <x v="92"/>
    <n v="2024"/>
    <s v="Oct"/>
    <x v="3"/>
    <x v="1"/>
    <n v="51"/>
    <x v="0"/>
    <x v="0"/>
    <n v="499"/>
    <x v="7"/>
    <n v="37"/>
    <x v="3"/>
    <x v="0"/>
    <n v="41"/>
    <x v="0"/>
    <x v="2"/>
    <n v="499"/>
    <x v="0"/>
    <x v="1"/>
  </r>
  <r>
    <x v="358"/>
    <x v="290"/>
    <n v="2022"/>
    <s v="Sep"/>
    <x v="1"/>
    <x v="1"/>
    <n v="53"/>
    <x v="1"/>
    <x v="0"/>
    <n v="499"/>
    <x v="8"/>
    <n v="46"/>
    <x v="1"/>
    <x v="2"/>
    <n v="1"/>
    <x v="0"/>
    <x v="2"/>
    <n v="499"/>
    <x v="0"/>
    <x v="1"/>
  </r>
  <r>
    <x v="359"/>
    <x v="308"/>
    <n v="2022"/>
    <s v="Jul"/>
    <x v="1"/>
    <x v="1"/>
    <n v="21"/>
    <x v="1"/>
    <x v="2"/>
    <n v="649"/>
    <x v="8"/>
    <n v="45"/>
    <x v="1"/>
    <x v="3"/>
    <n v="11"/>
    <x v="0"/>
    <x v="1"/>
    <n v="649"/>
    <x v="1"/>
    <x v="1"/>
  </r>
  <r>
    <x v="360"/>
    <x v="309"/>
    <n v="2024"/>
    <s v="Oct"/>
    <x v="3"/>
    <x v="1"/>
    <n v="22"/>
    <x v="1"/>
    <x v="1"/>
    <n v="199"/>
    <x v="8"/>
    <n v="21"/>
    <x v="0"/>
    <x v="2"/>
    <n v="35"/>
    <x v="0"/>
    <x v="2"/>
    <n v="199"/>
    <x v="1"/>
    <x v="0"/>
  </r>
  <r>
    <x v="361"/>
    <x v="310"/>
    <n v="2022"/>
    <s v="May"/>
    <x v="1"/>
    <x v="1"/>
    <n v="44"/>
    <x v="0"/>
    <x v="0"/>
    <n v="499"/>
    <x v="1"/>
    <n v="33"/>
    <x v="1"/>
    <x v="2"/>
    <n v="48"/>
    <x v="0"/>
    <x v="0"/>
    <n v="499"/>
    <x v="3"/>
    <x v="0"/>
  </r>
  <r>
    <x v="362"/>
    <x v="311"/>
    <n v="2024"/>
    <s v="May"/>
    <x v="2"/>
    <x v="2"/>
    <n v="34"/>
    <x v="1"/>
    <x v="1"/>
    <n v="199"/>
    <x v="7"/>
    <n v="26"/>
    <x v="1"/>
    <x v="3"/>
    <n v="16"/>
    <x v="0"/>
    <x v="0"/>
    <n v="199"/>
    <x v="2"/>
    <x v="0"/>
  </r>
  <r>
    <x v="363"/>
    <x v="312"/>
    <n v="2023"/>
    <s v="Feb"/>
    <x v="3"/>
    <x v="2"/>
    <n v="49"/>
    <x v="0"/>
    <x v="1"/>
    <n v="199"/>
    <x v="8"/>
    <n v="22"/>
    <x v="2"/>
    <x v="3"/>
    <n v="30"/>
    <x v="0"/>
    <x v="0"/>
    <n v="199"/>
    <x v="0"/>
    <x v="0"/>
  </r>
  <r>
    <x v="364"/>
    <x v="193"/>
    <n v="2023"/>
    <s v="Jan"/>
    <x v="3"/>
    <x v="0"/>
    <n v="43"/>
    <x v="0"/>
    <x v="1"/>
    <n v="199"/>
    <x v="1"/>
    <n v="48"/>
    <x v="0"/>
    <x v="3"/>
    <n v="7"/>
    <x v="0"/>
    <x v="2"/>
    <n v="199"/>
    <x v="3"/>
    <x v="1"/>
  </r>
  <r>
    <x v="365"/>
    <x v="313"/>
    <n v="2025"/>
    <s v="Apr"/>
    <x v="3"/>
    <x v="2"/>
    <n v="46"/>
    <x v="1"/>
    <x v="2"/>
    <n v="649"/>
    <x v="6"/>
    <n v="22"/>
    <x v="0"/>
    <x v="0"/>
    <n v="36"/>
    <x v="0"/>
    <x v="0"/>
    <n v="649"/>
    <x v="0"/>
    <x v="0"/>
  </r>
  <r>
    <x v="366"/>
    <x v="314"/>
    <n v="2023"/>
    <s v="Jul"/>
    <x v="0"/>
    <x v="2"/>
    <n v="29"/>
    <x v="0"/>
    <x v="1"/>
    <n v="199"/>
    <x v="5"/>
    <n v="34"/>
    <x v="2"/>
    <x v="1"/>
    <n v="46"/>
    <x v="0"/>
    <x v="2"/>
    <n v="199"/>
    <x v="2"/>
    <x v="0"/>
  </r>
  <r>
    <x v="367"/>
    <x v="315"/>
    <n v="2024"/>
    <s v="Apr"/>
    <x v="1"/>
    <x v="1"/>
    <n v="32"/>
    <x v="1"/>
    <x v="1"/>
    <n v="199"/>
    <x v="0"/>
    <n v="24"/>
    <x v="2"/>
    <x v="2"/>
    <n v="14"/>
    <x v="0"/>
    <x v="1"/>
    <n v="199"/>
    <x v="2"/>
    <x v="0"/>
  </r>
  <r>
    <x v="368"/>
    <x v="316"/>
    <n v="2025"/>
    <s v="Feb"/>
    <x v="2"/>
    <x v="1"/>
    <n v="33"/>
    <x v="0"/>
    <x v="1"/>
    <n v="199"/>
    <x v="4"/>
    <n v="29"/>
    <x v="1"/>
    <x v="1"/>
    <n v="20"/>
    <x v="0"/>
    <x v="0"/>
    <n v="199"/>
    <x v="2"/>
    <x v="0"/>
  </r>
  <r>
    <x v="369"/>
    <x v="79"/>
    <n v="2025"/>
    <s v="Feb"/>
    <x v="3"/>
    <x v="2"/>
    <n v="47"/>
    <x v="0"/>
    <x v="2"/>
    <n v="649"/>
    <x v="4"/>
    <n v="60"/>
    <x v="2"/>
    <x v="0"/>
    <n v="14"/>
    <x v="1"/>
    <x v="0"/>
    <n v="0"/>
    <x v="0"/>
    <x v="3"/>
  </r>
  <r>
    <x v="370"/>
    <x v="228"/>
    <n v="2023"/>
    <s v="Mar"/>
    <x v="2"/>
    <x v="0"/>
    <n v="23"/>
    <x v="0"/>
    <x v="1"/>
    <n v="199"/>
    <x v="0"/>
    <n v="42"/>
    <x v="1"/>
    <x v="3"/>
    <n v="30"/>
    <x v="1"/>
    <x v="1"/>
    <n v="0"/>
    <x v="1"/>
    <x v="1"/>
  </r>
  <r>
    <x v="371"/>
    <x v="246"/>
    <n v="2025"/>
    <s v="Sep"/>
    <x v="2"/>
    <x v="1"/>
    <n v="24"/>
    <x v="1"/>
    <x v="0"/>
    <n v="499"/>
    <x v="1"/>
    <n v="57"/>
    <x v="0"/>
    <x v="2"/>
    <n v="30"/>
    <x v="0"/>
    <x v="0"/>
    <n v="499"/>
    <x v="1"/>
    <x v="3"/>
  </r>
  <r>
    <x v="372"/>
    <x v="317"/>
    <n v="2022"/>
    <s v="Feb"/>
    <x v="2"/>
    <x v="0"/>
    <n v="21"/>
    <x v="0"/>
    <x v="1"/>
    <n v="199"/>
    <x v="3"/>
    <n v="51"/>
    <x v="1"/>
    <x v="0"/>
    <n v="6"/>
    <x v="1"/>
    <x v="2"/>
    <n v="0"/>
    <x v="1"/>
    <x v="3"/>
  </r>
  <r>
    <x v="373"/>
    <x v="250"/>
    <n v="2025"/>
    <s v="Jul"/>
    <x v="2"/>
    <x v="2"/>
    <n v="24"/>
    <x v="0"/>
    <x v="1"/>
    <n v="199"/>
    <x v="8"/>
    <n v="30"/>
    <x v="3"/>
    <x v="0"/>
    <n v="11"/>
    <x v="1"/>
    <x v="2"/>
    <n v="0"/>
    <x v="1"/>
    <x v="0"/>
  </r>
  <r>
    <x v="374"/>
    <x v="318"/>
    <n v="2024"/>
    <s v="May"/>
    <x v="1"/>
    <x v="2"/>
    <n v="52"/>
    <x v="1"/>
    <x v="0"/>
    <n v="499"/>
    <x v="3"/>
    <n v="24"/>
    <x v="0"/>
    <x v="3"/>
    <n v="23"/>
    <x v="0"/>
    <x v="0"/>
    <n v="499"/>
    <x v="0"/>
    <x v="0"/>
  </r>
  <r>
    <x v="375"/>
    <x v="292"/>
    <n v="2025"/>
    <s v="Jan"/>
    <x v="2"/>
    <x v="0"/>
    <n v="32"/>
    <x v="0"/>
    <x v="2"/>
    <n v="649"/>
    <x v="6"/>
    <n v="43"/>
    <x v="0"/>
    <x v="2"/>
    <n v="22"/>
    <x v="0"/>
    <x v="0"/>
    <n v="649"/>
    <x v="2"/>
    <x v="1"/>
  </r>
  <r>
    <x v="376"/>
    <x v="56"/>
    <n v="2022"/>
    <s v="Jun"/>
    <x v="3"/>
    <x v="1"/>
    <n v="24"/>
    <x v="1"/>
    <x v="0"/>
    <n v="499"/>
    <x v="5"/>
    <n v="33"/>
    <x v="2"/>
    <x v="0"/>
    <n v="42"/>
    <x v="0"/>
    <x v="1"/>
    <n v="499"/>
    <x v="1"/>
    <x v="0"/>
  </r>
  <r>
    <x v="377"/>
    <x v="319"/>
    <n v="2024"/>
    <s v="Jun"/>
    <x v="0"/>
    <x v="1"/>
    <n v="43"/>
    <x v="1"/>
    <x v="0"/>
    <n v="499"/>
    <x v="8"/>
    <n v="43"/>
    <x v="0"/>
    <x v="3"/>
    <n v="46"/>
    <x v="0"/>
    <x v="2"/>
    <n v="499"/>
    <x v="3"/>
    <x v="1"/>
  </r>
  <r>
    <x v="378"/>
    <x v="320"/>
    <n v="2022"/>
    <s v="Jul"/>
    <x v="0"/>
    <x v="2"/>
    <n v="34"/>
    <x v="0"/>
    <x v="0"/>
    <n v="499"/>
    <x v="7"/>
    <n v="21"/>
    <x v="2"/>
    <x v="2"/>
    <n v="8"/>
    <x v="0"/>
    <x v="2"/>
    <n v="499"/>
    <x v="2"/>
    <x v="0"/>
  </r>
  <r>
    <x v="379"/>
    <x v="321"/>
    <n v="2022"/>
    <s v="May"/>
    <x v="1"/>
    <x v="0"/>
    <n v="37"/>
    <x v="0"/>
    <x v="2"/>
    <n v="649"/>
    <x v="0"/>
    <n v="49"/>
    <x v="2"/>
    <x v="1"/>
    <n v="32"/>
    <x v="0"/>
    <x v="2"/>
    <n v="649"/>
    <x v="3"/>
    <x v="1"/>
  </r>
  <r>
    <x v="380"/>
    <x v="322"/>
    <n v="2025"/>
    <s v="May"/>
    <x v="2"/>
    <x v="1"/>
    <n v="26"/>
    <x v="0"/>
    <x v="0"/>
    <n v="499"/>
    <x v="7"/>
    <n v="42"/>
    <x v="3"/>
    <x v="1"/>
    <n v="38"/>
    <x v="0"/>
    <x v="0"/>
    <n v="499"/>
    <x v="2"/>
    <x v="1"/>
  </r>
  <r>
    <x v="381"/>
    <x v="323"/>
    <n v="2024"/>
    <s v="Jun"/>
    <x v="0"/>
    <x v="1"/>
    <n v="48"/>
    <x v="0"/>
    <x v="2"/>
    <n v="649"/>
    <x v="3"/>
    <n v="52"/>
    <x v="1"/>
    <x v="2"/>
    <n v="9"/>
    <x v="0"/>
    <x v="2"/>
    <n v="649"/>
    <x v="0"/>
    <x v="3"/>
  </r>
  <r>
    <x v="382"/>
    <x v="242"/>
    <n v="2023"/>
    <s v="Dec"/>
    <x v="2"/>
    <x v="1"/>
    <n v="19"/>
    <x v="0"/>
    <x v="1"/>
    <n v="199"/>
    <x v="1"/>
    <n v="60"/>
    <x v="3"/>
    <x v="0"/>
    <n v="44"/>
    <x v="0"/>
    <x v="0"/>
    <n v="199"/>
    <x v="1"/>
    <x v="3"/>
  </r>
  <r>
    <x v="383"/>
    <x v="183"/>
    <n v="2024"/>
    <s v="Feb"/>
    <x v="3"/>
    <x v="2"/>
    <n v="19"/>
    <x v="0"/>
    <x v="2"/>
    <n v="649"/>
    <x v="4"/>
    <n v="39"/>
    <x v="3"/>
    <x v="2"/>
    <n v="39"/>
    <x v="0"/>
    <x v="2"/>
    <n v="649"/>
    <x v="1"/>
    <x v="1"/>
  </r>
  <r>
    <x v="384"/>
    <x v="324"/>
    <n v="2024"/>
    <s v="May"/>
    <x v="1"/>
    <x v="2"/>
    <n v="21"/>
    <x v="1"/>
    <x v="2"/>
    <n v="649"/>
    <x v="4"/>
    <n v="51"/>
    <x v="0"/>
    <x v="2"/>
    <n v="36"/>
    <x v="0"/>
    <x v="1"/>
    <n v="649"/>
    <x v="1"/>
    <x v="3"/>
  </r>
  <r>
    <x v="385"/>
    <x v="325"/>
    <n v="2024"/>
    <s v="Apr"/>
    <x v="2"/>
    <x v="0"/>
    <n v="51"/>
    <x v="0"/>
    <x v="1"/>
    <n v="199"/>
    <x v="6"/>
    <n v="46"/>
    <x v="2"/>
    <x v="3"/>
    <n v="30"/>
    <x v="1"/>
    <x v="0"/>
    <n v="0"/>
    <x v="0"/>
    <x v="1"/>
  </r>
  <r>
    <x v="386"/>
    <x v="326"/>
    <n v="2023"/>
    <s v="Apr"/>
    <x v="3"/>
    <x v="2"/>
    <n v="55"/>
    <x v="1"/>
    <x v="0"/>
    <n v="499"/>
    <x v="6"/>
    <n v="24"/>
    <x v="0"/>
    <x v="1"/>
    <n v="7"/>
    <x v="0"/>
    <x v="2"/>
    <n v="499"/>
    <x v="4"/>
    <x v="0"/>
  </r>
  <r>
    <x v="387"/>
    <x v="327"/>
    <n v="2024"/>
    <s v="Dec"/>
    <x v="1"/>
    <x v="1"/>
    <n v="24"/>
    <x v="0"/>
    <x v="2"/>
    <n v="649"/>
    <x v="4"/>
    <n v="28"/>
    <x v="0"/>
    <x v="2"/>
    <n v="5"/>
    <x v="0"/>
    <x v="1"/>
    <n v="649"/>
    <x v="1"/>
    <x v="0"/>
  </r>
  <r>
    <x v="388"/>
    <x v="328"/>
    <n v="2022"/>
    <s v="May"/>
    <x v="3"/>
    <x v="2"/>
    <n v="50"/>
    <x v="0"/>
    <x v="0"/>
    <n v="499"/>
    <x v="6"/>
    <n v="47"/>
    <x v="2"/>
    <x v="2"/>
    <n v="38"/>
    <x v="1"/>
    <x v="3"/>
    <n v="0"/>
    <x v="0"/>
    <x v="1"/>
  </r>
  <r>
    <x v="389"/>
    <x v="329"/>
    <n v="2023"/>
    <s v="Apr"/>
    <x v="3"/>
    <x v="2"/>
    <n v="37"/>
    <x v="0"/>
    <x v="0"/>
    <n v="499"/>
    <x v="0"/>
    <n v="44"/>
    <x v="0"/>
    <x v="1"/>
    <n v="14"/>
    <x v="0"/>
    <x v="2"/>
    <n v="499"/>
    <x v="3"/>
    <x v="1"/>
  </r>
  <r>
    <x v="390"/>
    <x v="330"/>
    <n v="2022"/>
    <s v="Jul"/>
    <x v="3"/>
    <x v="2"/>
    <n v="40"/>
    <x v="1"/>
    <x v="0"/>
    <n v="499"/>
    <x v="2"/>
    <n v="30"/>
    <x v="1"/>
    <x v="0"/>
    <n v="24"/>
    <x v="0"/>
    <x v="1"/>
    <n v="499"/>
    <x v="3"/>
    <x v="0"/>
  </r>
  <r>
    <x v="391"/>
    <x v="331"/>
    <n v="2025"/>
    <s v="Nov"/>
    <x v="3"/>
    <x v="2"/>
    <n v="41"/>
    <x v="1"/>
    <x v="0"/>
    <n v="499"/>
    <x v="4"/>
    <n v="47"/>
    <x v="0"/>
    <x v="0"/>
    <n v="14"/>
    <x v="0"/>
    <x v="1"/>
    <n v="499"/>
    <x v="3"/>
    <x v="1"/>
  </r>
  <r>
    <x v="392"/>
    <x v="332"/>
    <n v="2023"/>
    <s v="Jun"/>
    <x v="3"/>
    <x v="0"/>
    <n v="31"/>
    <x v="0"/>
    <x v="2"/>
    <n v="649"/>
    <x v="4"/>
    <n v="38"/>
    <x v="2"/>
    <x v="1"/>
    <n v="45"/>
    <x v="0"/>
    <x v="1"/>
    <n v="649"/>
    <x v="2"/>
    <x v="1"/>
  </r>
  <r>
    <x v="393"/>
    <x v="333"/>
    <n v="2025"/>
    <s v="Jan"/>
    <x v="0"/>
    <x v="1"/>
    <n v="52"/>
    <x v="0"/>
    <x v="0"/>
    <n v="499"/>
    <x v="8"/>
    <n v="40"/>
    <x v="1"/>
    <x v="0"/>
    <n v="6"/>
    <x v="1"/>
    <x v="3"/>
    <n v="0"/>
    <x v="0"/>
    <x v="1"/>
  </r>
  <r>
    <x v="394"/>
    <x v="334"/>
    <n v="2023"/>
    <s v="Mar"/>
    <x v="0"/>
    <x v="0"/>
    <n v="38"/>
    <x v="0"/>
    <x v="0"/>
    <n v="499"/>
    <x v="8"/>
    <n v="40"/>
    <x v="2"/>
    <x v="0"/>
    <n v="48"/>
    <x v="0"/>
    <x v="2"/>
    <n v="499"/>
    <x v="3"/>
    <x v="1"/>
  </r>
  <r>
    <x v="395"/>
    <x v="335"/>
    <n v="2024"/>
    <s v="Oct"/>
    <x v="0"/>
    <x v="2"/>
    <n v="38"/>
    <x v="1"/>
    <x v="0"/>
    <n v="499"/>
    <x v="7"/>
    <n v="43"/>
    <x v="1"/>
    <x v="3"/>
    <n v="4"/>
    <x v="1"/>
    <x v="3"/>
    <n v="0"/>
    <x v="3"/>
    <x v="1"/>
  </r>
  <r>
    <x v="396"/>
    <x v="336"/>
    <n v="2025"/>
    <s v="Dec"/>
    <x v="1"/>
    <x v="2"/>
    <n v="27"/>
    <x v="0"/>
    <x v="1"/>
    <n v="199"/>
    <x v="3"/>
    <n v="25"/>
    <x v="2"/>
    <x v="3"/>
    <n v="17"/>
    <x v="0"/>
    <x v="2"/>
    <n v="199"/>
    <x v="2"/>
    <x v="0"/>
  </r>
  <r>
    <x v="397"/>
    <x v="166"/>
    <n v="2023"/>
    <s v="Feb"/>
    <x v="0"/>
    <x v="0"/>
    <n v="22"/>
    <x v="1"/>
    <x v="1"/>
    <n v="199"/>
    <x v="0"/>
    <n v="55"/>
    <x v="3"/>
    <x v="0"/>
    <n v="39"/>
    <x v="0"/>
    <x v="1"/>
    <n v="199"/>
    <x v="1"/>
    <x v="3"/>
  </r>
  <r>
    <x v="398"/>
    <x v="337"/>
    <n v="2025"/>
    <s v="Jul"/>
    <x v="2"/>
    <x v="1"/>
    <n v="18"/>
    <x v="1"/>
    <x v="1"/>
    <n v="199"/>
    <x v="4"/>
    <n v="54"/>
    <x v="2"/>
    <x v="3"/>
    <n v="6"/>
    <x v="0"/>
    <x v="0"/>
    <n v="199"/>
    <x v="1"/>
    <x v="3"/>
  </r>
  <r>
    <x v="399"/>
    <x v="338"/>
    <n v="2025"/>
    <s v="Dec"/>
    <x v="2"/>
    <x v="2"/>
    <n v="28"/>
    <x v="0"/>
    <x v="2"/>
    <n v="649"/>
    <x v="7"/>
    <n v="28"/>
    <x v="3"/>
    <x v="0"/>
    <n v="27"/>
    <x v="0"/>
    <x v="1"/>
    <n v="649"/>
    <x v="2"/>
    <x v="0"/>
  </r>
  <r>
    <x v="400"/>
    <x v="225"/>
    <n v="2022"/>
    <s v="Oct"/>
    <x v="2"/>
    <x v="1"/>
    <n v="42"/>
    <x v="0"/>
    <x v="0"/>
    <n v="499"/>
    <x v="5"/>
    <n v="33"/>
    <x v="3"/>
    <x v="1"/>
    <n v="21"/>
    <x v="1"/>
    <x v="0"/>
    <n v="0"/>
    <x v="3"/>
    <x v="0"/>
  </r>
  <r>
    <x v="401"/>
    <x v="339"/>
    <n v="2022"/>
    <s v="Jan"/>
    <x v="2"/>
    <x v="0"/>
    <n v="31"/>
    <x v="1"/>
    <x v="0"/>
    <n v="499"/>
    <x v="0"/>
    <n v="25"/>
    <x v="0"/>
    <x v="2"/>
    <n v="41"/>
    <x v="0"/>
    <x v="1"/>
    <n v="499"/>
    <x v="2"/>
    <x v="0"/>
  </r>
  <r>
    <x v="402"/>
    <x v="315"/>
    <n v="2024"/>
    <s v="Apr"/>
    <x v="1"/>
    <x v="1"/>
    <n v="28"/>
    <x v="0"/>
    <x v="1"/>
    <n v="199"/>
    <x v="5"/>
    <n v="45"/>
    <x v="1"/>
    <x v="2"/>
    <n v="18"/>
    <x v="0"/>
    <x v="1"/>
    <n v="199"/>
    <x v="2"/>
    <x v="1"/>
  </r>
  <r>
    <x v="403"/>
    <x v="340"/>
    <n v="2024"/>
    <s v="Sep"/>
    <x v="0"/>
    <x v="1"/>
    <n v="41"/>
    <x v="0"/>
    <x v="1"/>
    <n v="199"/>
    <x v="7"/>
    <n v="34"/>
    <x v="1"/>
    <x v="1"/>
    <n v="35"/>
    <x v="0"/>
    <x v="2"/>
    <n v="199"/>
    <x v="3"/>
    <x v="0"/>
  </r>
  <r>
    <x v="404"/>
    <x v="81"/>
    <n v="2025"/>
    <s v="Sep"/>
    <x v="2"/>
    <x v="1"/>
    <n v="20"/>
    <x v="1"/>
    <x v="2"/>
    <n v="649"/>
    <x v="0"/>
    <n v="29"/>
    <x v="2"/>
    <x v="2"/>
    <n v="33"/>
    <x v="0"/>
    <x v="0"/>
    <n v="649"/>
    <x v="1"/>
    <x v="0"/>
  </r>
  <r>
    <x v="405"/>
    <x v="341"/>
    <n v="2022"/>
    <s v="Apr"/>
    <x v="0"/>
    <x v="1"/>
    <n v="19"/>
    <x v="0"/>
    <x v="2"/>
    <n v="649"/>
    <x v="0"/>
    <n v="30"/>
    <x v="2"/>
    <x v="2"/>
    <n v="41"/>
    <x v="0"/>
    <x v="2"/>
    <n v="649"/>
    <x v="1"/>
    <x v="0"/>
  </r>
  <r>
    <x v="406"/>
    <x v="342"/>
    <n v="2025"/>
    <s v="Mar"/>
    <x v="3"/>
    <x v="1"/>
    <n v="49"/>
    <x v="1"/>
    <x v="1"/>
    <n v="199"/>
    <x v="3"/>
    <n v="58"/>
    <x v="3"/>
    <x v="3"/>
    <n v="14"/>
    <x v="0"/>
    <x v="2"/>
    <n v="199"/>
    <x v="0"/>
    <x v="3"/>
  </r>
  <r>
    <x v="407"/>
    <x v="343"/>
    <n v="2023"/>
    <s v="Apr"/>
    <x v="2"/>
    <x v="0"/>
    <n v="41"/>
    <x v="1"/>
    <x v="1"/>
    <n v="199"/>
    <x v="3"/>
    <n v="52"/>
    <x v="1"/>
    <x v="0"/>
    <n v="36"/>
    <x v="0"/>
    <x v="0"/>
    <n v="199"/>
    <x v="3"/>
    <x v="3"/>
  </r>
  <r>
    <x v="408"/>
    <x v="3"/>
    <n v="2023"/>
    <s v="Dec"/>
    <x v="1"/>
    <x v="1"/>
    <n v="39"/>
    <x v="1"/>
    <x v="1"/>
    <n v="199"/>
    <x v="3"/>
    <n v="38"/>
    <x v="2"/>
    <x v="1"/>
    <n v="6"/>
    <x v="1"/>
    <x v="3"/>
    <n v="0"/>
    <x v="3"/>
    <x v="1"/>
  </r>
  <r>
    <x v="409"/>
    <x v="264"/>
    <n v="2023"/>
    <s v="Jun"/>
    <x v="2"/>
    <x v="2"/>
    <n v="49"/>
    <x v="0"/>
    <x v="0"/>
    <n v="499"/>
    <x v="1"/>
    <n v="36"/>
    <x v="0"/>
    <x v="3"/>
    <n v="9"/>
    <x v="0"/>
    <x v="2"/>
    <n v="499"/>
    <x v="0"/>
    <x v="1"/>
  </r>
  <r>
    <x v="410"/>
    <x v="344"/>
    <n v="2025"/>
    <s v="Aug"/>
    <x v="1"/>
    <x v="1"/>
    <n v="19"/>
    <x v="0"/>
    <x v="1"/>
    <n v="199"/>
    <x v="8"/>
    <n v="41"/>
    <x v="2"/>
    <x v="1"/>
    <n v="12"/>
    <x v="0"/>
    <x v="0"/>
    <n v="199"/>
    <x v="1"/>
    <x v="1"/>
  </r>
  <r>
    <x v="411"/>
    <x v="345"/>
    <n v="2025"/>
    <s v="Mar"/>
    <x v="0"/>
    <x v="2"/>
    <n v="52"/>
    <x v="1"/>
    <x v="1"/>
    <n v="199"/>
    <x v="7"/>
    <n v="39"/>
    <x v="2"/>
    <x v="0"/>
    <n v="21"/>
    <x v="0"/>
    <x v="1"/>
    <n v="199"/>
    <x v="0"/>
    <x v="1"/>
  </r>
  <r>
    <x v="412"/>
    <x v="346"/>
    <n v="2025"/>
    <s v="Nov"/>
    <x v="3"/>
    <x v="2"/>
    <n v="25"/>
    <x v="1"/>
    <x v="1"/>
    <n v="199"/>
    <x v="8"/>
    <n v="23"/>
    <x v="2"/>
    <x v="1"/>
    <n v="43"/>
    <x v="0"/>
    <x v="2"/>
    <n v="199"/>
    <x v="2"/>
    <x v="0"/>
  </r>
  <r>
    <x v="413"/>
    <x v="347"/>
    <n v="2025"/>
    <s v="May"/>
    <x v="2"/>
    <x v="0"/>
    <n v="33"/>
    <x v="1"/>
    <x v="1"/>
    <n v="199"/>
    <x v="6"/>
    <n v="57"/>
    <x v="3"/>
    <x v="0"/>
    <n v="24"/>
    <x v="1"/>
    <x v="1"/>
    <n v="0"/>
    <x v="2"/>
    <x v="3"/>
  </r>
  <r>
    <x v="414"/>
    <x v="348"/>
    <n v="2022"/>
    <s v="Sep"/>
    <x v="0"/>
    <x v="1"/>
    <n v="48"/>
    <x v="1"/>
    <x v="0"/>
    <n v="499"/>
    <x v="0"/>
    <n v="47"/>
    <x v="2"/>
    <x v="3"/>
    <n v="12"/>
    <x v="0"/>
    <x v="2"/>
    <n v="499"/>
    <x v="0"/>
    <x v="1"/>
  </r>
  <r>
    <x v="415"/>
    <x v="349"/>
    <n v="2025"/>
    <s v="Sep"/>
    <x v="1"/>
    <x v="2"/>
    <n v="49"/>
    <x v="0"/>
    <x v="0"/>
    <n v="499"/>
    <x v="4"/>
    <n v="31"/>
    <x v="0"/>
    <x v="1"/>
    <n v="32"/>
    <x v="0"/>
    <x v="0"/>
    <n v="499"/>
    <x v="0"/>
    <x v="0"/>
  </r>
  <r>
    <x v="416"/>
    <x v="33"/>
    <n v="2025"/>
    <s v="May"/>
    <x v="2"/>
    <x v="2"/>
    <n v="26"/>
    <x v="1"/>
    <x v="1"/>
    <n v="199"/>
    <x v="3"/>
    <n v="35"/>
    <x v="0"/>
    <x v="1"/>
    <n v="34"/>
    <x v="0"/>
    <x v="2"/>
    <n v="199"/>
    <x v="2"/>
    <x v="0"/>
  </r>
  <r>
    <x v="417"/>
    <x v="350"/>
    <n v="2022"/>
    <s v="Jan"/>
    <x v="0"/>
    <x v="2"/>
    <n v="22"/>
    <x v="1"/>
    <x v="0"/>
    <n v="499"/>
    <x v="5"/>
    <n v="55"/>
    <x v="0"/>
    <x v="3"/>
    <n v="35"/>
    <x v="0"/>
    <x v="0"/>
    <n v="499"/>
    <x v="1"/>
    <x v="3"/>
  </r>
  <r>
    <x v="418"/>
    <x v="351"/>
    <n v="2023"/>
    <s v="Mar"/>
    <x v="2"/>
    <x v="0"/>
    <n v="52"/>
    <x v="1"/>
    <x v="0"/>
    <n v="499"/>
    <x v="8"/>
    <n v="29"/>
    <x v="1"/>
    <x v="2"/>
    <n v="40"/>
    <x v="0"/>
    <x v="1"/>
    <n v="499"/>
    <x v="0"/>
    <x v="0"/>
  </r>
  <r>
    <x v="419"/>
    <x v="327"/>
    <n v="2024"/>
    <s v="Dec"/>
    <x v="2"/>
    <x v="1"/>
    <n v="37"/>
    <x v="0"/>
    <x v="1"/>
    <n v="199"/>
    <x v="6"/>
    <n v="26"/>
    <x v="2"/>
    <x v="1"/>
    <n v="9"/>
    <x v="0"/>
    <x v="1"/>
    <n v="199"/>
    <x v="3"/>
    <x v="0"/>
  </r>
  <r>
    <x v="420"/>
    <x v="352"/>
    <n v="2022"/>
    <s v="May"/>
    <x v="0"/>
    <x v="1"/>
    <n v="46"/>
    <x v="1"/>
    <x v="2"/>
    <n v="649"/>
    <x v="0"/>
    <n v="43"/>
    <x v="0"/>
    <x v="2"/>
    <n v="46"/>
    <x v="0"/>
    <x v="0"/>
    <n v="649"/>
    <x v="0"/>
    <x v="1"/>
  </r>
  <r>
    <x v="421"/>
    <x v="353"/>
    <n v="2022"/>
    <s v="Jan"/>
    <x v="3"/>
    <x v="0"/>
    <n v="20"/>
    <x v="1"/>
    <x v="1"/>
    <n v="199"/>
    <x v="8"/>
    <n v="58"/>
    <x v="2"/>
    <x v="3"/>
    <n v="17"/>
    <x v="0"/>
    <x v="1"/>
    <n v="199"/>
    <x v="1"/>
    <x v="3"/>
  </r>
  <r>
    <x v="422"/>
    <x v="354"/>
    <n v="2024"/>
    <s v="Nov"/>
    <x v="2"/>
    <x v="1"/>
    <n v="48"/>
    <x v="0"/>
    <x v="0"/>
    <n v="499"/>
    <x v="7"/>
    <n v="38"/>
    <x v="3"/>
    <x v="3"/>
    <n v="37"/>
    <x v="0"/>
    <x v="2"/>
    <n v="499"/>
    <x v="0"/>
    <x v="1"/>
  </r>
  <r>
    <x v="423"/>
    <x v="355"/>
    <n v="2025"/>
    <s v="Apr"/>
    <x v="0"/>
    <x v="0"/>
    <n v="18"/>
    <x v="0"/>
    <x v="1"/>
    <n v="199"/>
    <x v="5"/>
    <n v="40"/>
    <x v="2"/>
    <x v="3"/>
    <n v="2"/>
    <x v="0"/>
    <x v="0"/>
    <n v="199"/>
    <x v="1"/>
    <x v="1"/>
  </r>
  <r>
    <x v="424"/>
    <x v="356"/>
    <n v="2024"/>
    <s v="Feb"/>
    <x v="0"/>
    <x v="0"/>
    <n v="48"/>
    <x v="1"/>
    <x v="0"/>
    <n v="499"/>
    <x v="1"/>
    <n v="37"/>
    <x v="2"/>
    <x v="2"/>
    <n v="18"/>
    <x v="0"/>
    <x v="1"/>
    <n v="499"/>
    <x v="0"/>
    <x v="1"/>
  </r>
  <r>
    <x v="425"/>
    <x v="357"/>
    <n v="2024"/>
    <s v="May"/>
    <x v="0"/>
    <x v="1"/>
    <n v="49"/>
    <x v="0"/>
    <x v="0"/>
    <n v="499"/>
    <x v="4"/>
    <n v="40"/>
    <x v="2"/>
    <x v="0"/>
    <n v="9"/>
    <x v="0"/>
    <x v="0"/>
    <n v="499"/>
    <x v="0"/>
    <x v="1"/>
  </r>
  <r>
    <x v="426"/>
    <x v="358"/>
    <n v="2024"/>
    <s v="Feb"/>
    <x v="0"/>
    <x v="1"/>
    <n v="50"/>
    <x v="1"/>
    <x v="0"/>
    <n v="499"/>
    <x v="2"/>
    <n v="51"/>
    <x v="0"/>
    <x v="0"/>
    <n v="31"/>
    <x v="0"/>
    <x v="0"/>
    <n v="499"/>
    <x v="0"/>
    <x v="3"/>
  </r>
  <r>
    <x v="427"/>
    <x v="352"/>
    <n v="2022"/>
    <s v="May"/>
    <x v="0"/>
    <x v="0"/>
    <n v="45"/>
    <x v="0"/>
    <x v="1"/>
    <n v="199"/>
    <x v="6"/>
    <n v="49"/>
    <x v="0"/>
    <x v="0"/>
    <n v="31"/>
    <x v="1"/>
    <x v="0"/>
    <n v="0"/>
    <x v="0"/>
    <x v="1"/>
  </r>
  <r>
    <x v="428"/>
    <x v="359"/>
    <n v="2025"/>
    <s v="Jun"/>
    <x v="3"/>
    <x v="0"/>
    <n v="21"/>
    <x v="1"/>
    <x v="0"/>
    <n v="499"/>
    <x v="5"/>
    <n v="49"/>
    <x v="1"/>
    <x v="3"/>
    <n v="2"/>
    <x v="0"/>
    <x v="2"/>
    <n v="499"/>
    <x v="1"/>
    <x v="1"/>
  </r>
  <r>
    <x v="429"/>
    <x v="360"/>
    <n v="2023"/>
    <s v="Oct"/>
    <x v="1"/>
    <x v="1"/>
    <n v="53"/>
    <x v="1"/>
    <x v="1"/>
    <n v="199"/>
    <x v="8"/>
    <n v="32"/>
    <x v="1"/>
    <x v="0"/>
    <n v="25"/>
    <x v="0"/>
    <x v="1"/>
    <n v="199"/>
    <x v="0"/>
    <x v="0"/>
  </r>
  <r>
    <x v="430"/>
    <x v="361"/>
    <n v="2024"/>
    <s v="Jul"/>
    <x v="1"/>
    <x v="0"/>
    <n v="27"/>
    <x v="1"/>
    <x v="2"/>
    <n v="649"/>
    <x v="3"/>
    <n v="52"/>
    <x v="2"/>
    <x v="1"/>
    <n v="7"/>
    <x v="0"/>
    <x v="1"/>
    <n v="649"/>
    <x v="2"/>
    <x v="3"/>
  </r>
  <r>
    <x v="431"/>
    <x v="201"/>
    <n v="2022"/>
    <s v="Apr"/>
    <x v="1"/>
    <x v="1"/>
    <n v="19"/>
    <x v="1"/>
    <x v="1"/>
    <n v="199"/>
    <x v="2"/>
    <n v="25"/>
    <x v="1"/>
    <x v="0"/>
    <n v="37"/>
    <x v="0"/>
    <x v="2"/>
    <n v="199"/>
    <x v="1"/>
    <x v="0"/>
  </r>
  <r>
    <x v="432"/>
    <x v="362"/>
    <n v="2022"/>
    <s v="Jan"/>
    <x v="1"/>
    <x v="1"/>
    <n v="27"/>
    <x v="0"/>
    <x v="0"/>
    <n v="499"/>
    <x v="1"/>
    <n v="49"/>
    <x v="2"/>
    <x v="2"/>
    <n v="13"/>
    <x v="0"/>
    <x v="2"/>
    <n v="499"/>
    <x v="2"/>
    <x v="1"/>
  </r>
  <r>
    <x v="433"/>
    <x v="363"/>
    <n v="2024"/>
    <s v="Jun"/>
    <x v="1"/>
    <x v="2"/>
    <n v="40"/>
    <x v="1"/>
    <x v="1"/>
    <n v="199"/>
    <x v="1"/>
    <n v="60"/>
    <x v="0"/>
    <x v="3"/>
    <n v="22"/>
    <x v="0"/>
    <x v="2"/>
    <n v="199"/>
    <x v="3"/>
    <x v="3"/>
  </r>
  <r>
    <x v="434"/>
    <x v="364"/>
    <n v="2025"/>
    <s v="Sep"/>
    <x v="0"/>
    <x v="2"/>
    <n v="30"/>
    <x v="0"/>
    <x v="0"/>
    <n v="499"/>
    <x v="6"/>
    <n v="53"/>
    <x v="2"/>
    <x v="3"/>
    <n v="32"/>
    <x v="0"/>
    <x v="1"/>
    <n v="499"/>
    <x v="2"/>
    <x v="3"/>
  </r>
  <r>
    <x v="435"/>
    <x v="151"/>
    <n v="2023"/>
    <s v="Oct"/>
    <x v="0"/>
    <x v="1"/>
    <n v="35"/>
    <x v="0"/>
    <x v="1"/>
    <n v="199"/>
    <x v="6"/>
    <n v="59"/>
    <x v="1"/>
    <x v="1"/>
    <n v="30"/>
    <x v="0"/>
    <x v="0"/>
    <n v="199"/>
    <x v="3"/>
    <x v="3"/>
  </r>
  <r>
    <x v="436"/>
    <x v="365"/>
    <n v="2025"/>
    <s v="Aug"/>
    <x v="2"/>
    <x v="1"/>
    <n v="36"/>
    <x v="0"/>
    <x v="1"/>
    <n v="199"/>
    <x v="7"/>
    <n v="25"/>
    <x v="1"/>
    <x v="0"/>
    <n v="21"/>
    <x v="0"/>
    <x v="1"/>
    <n v="199"/>
    <x v="3"/>
    <x v="0"/>
  </r>
  <r>
    <x v="437"/>
    <x v="183"/>
    <n v="2024"/>
    <s v="Feb"/>
    <x v="2"/>
    <x v="0"/>
    <n v="36"/>
    <x v="0"/>
    <x v="1"/>
    <n v="199"/>
    <x v="4"/>
    <n v="59"/>
    <x v="3"/>
    <x v="2"/>
    <n v="19"/>
    <x v="1"/>
    <x v="2"/>
    <n v="0"/>
    <x v="3"/>
    <x v="3"/>
  </r>
  <r>
    <x v="438"/>
    <x v="366"/>
    <n v="2024"/>
    <s v="Jul"/>
    <x v="2"/>
    <x v="1"/>
    <n v="36"/>
    <x v="0"/>
    <x v="2"/>
    <n v="649"/>
    <x v="3"/>
    <n v="27"/>
    <x v="3"/>
    <x v="3"/>
    <n v="10"/>
    <x v="0"/>
    <x v="2"/>
    <n v="649"/>
    <x v="3"/>
    <x v="0"/>
  </r>
  <r>
    <x v="439"/>
    <x v="367"/>
    <n v="2023"/>
    <s v="May"/>
    <x v="3"/>
    <x v="2"/>
    <n v="32"/>
    <x v="0"/>
    <x v="2"/>
    <n v="649"/>
    <x v="1"/>
    <n v="58"/>
    <x v="2"/>
    <x v="2"/>
    <n v="46"/>
    <x v="0"/>
    <x v="1"/>
    <n v="649"/>
    <x v="2"/>
    <x v="3"/>
  </r>
  <r>
    <x v="440"/>
    <x v="368"/>
    <n v="2022"/>
    <s v="Dec"/>
    <x v="2"/>
    <x v="1"/>
    <n v="36"/>
    <x v="1"/>
    <x v="0"/>
    <n v="499"/>
    <x v="5"/>
    <n v="60"/>
    <x v="2"/>
    <x v="2"/>
    <n v="5"/>
    <x v="0"/>
    <x v="2"/>
    <n v="499"/>
    <x v="3"/>
    <x v="3"/>
  </r>
  <r>
    <x v="441"/>
    <x v="369"/>
    <n v="2023"/>
    <s v="Jan"/>
    <x v="2"/>
    <x v="2"/>
    <n v="25"/>
    <x v="1"/>
    <x v="0"/>
    <n v="499"/>
    <x v="7"/>
    <n v="50"/>
    <x v="3"/>
    <x v="1"/>
    <n v="24"/>
    <x v="0"/>
    <x v="2"/>
    <n v="499"/>
    <x v="2"/>
    <x v="1"/>
  </r>
  <r>
    <x v="442"/>
    <x v="370"/>
    <n v="2023"/>
    <s v="Oct"/>
    <x v="2"/>
    <x v="2"/>
    <n v="52"/>
    <x v="1"/>
    <x v="1"/>
    <n v="199"/>
    <x v="8"/>
    <n v="46"/>
    <x v="2"/>
    <x v="3"/>
    <n v="29"/>
    <x v="0"/>
    <x v="1"/>
    <n v="199"/>
    <x v="0"/>
    <x v="1"/>
  </r>
  <r>
    <x v="443"/>
    <x v="371"/>
    <n v="2023"/>
    <s v="Aug"/>
    <x v="3"/>
    <x v="1"/>
    <n v="38"/>
    <x v="1"/>
    <x v="0"/>
    <n v="499"/>
    <x v="4"/>
    <n v="43"/>
    <x v="1"/>
    <x v="0"/>
    <n v="6"/>
    <x v="0"/>
    <x v="2"/>
    <n v="499"/>
    <x v="3"/>
    <x v="1"/>
  </r>
  <r>
    <x v="444"/>
    <x v="372"/>
    <n v="2025"/>
    <s v="Feb"/>
    <x v="1"/>
    <x v="1"/>
    <n v="22"/>
    <x v="1"/>
    <x v="2"/>
    <n v="649"/>
    <x v="1"/>
    <n v="37"/>
    <x v="0"/>
    <x v="0"/>
    <n v="21"/>
    <x v="0"/>
    <x v="2"/>
    <n v="649"/>
    <x v="1"/>
    <x v="1"/>
  </r>
  <r>
    <x v="445"/>
    <x v="373"/>
    <n v="2023"/>
    <s v="Mar"/>
    <x v="2"/>
    <x v="1"/>
    <n v="45"/>
    <x v="0"/>
    <x v="0"/>
    <n v="499"/>
    <x v="2"/>
    <n v="33"/>
    <x v="3"/>
    <x v="2"/>
    <n v="1"/>
    <x v="0"/>
    <x v="0"/>
    <n v="499"/>
    <x v="0"/>
    <x v="0"/>
  </r>
  <r>
    <x v="446"/>
    <x v="281"/>
    <n v="2022"/>
    <s v="Sep"/>
    <x v="1"/>
    <x v="1"/>
    <n v="27"/>
    <x v="1"/>
    <x v="1"/>
    <n v="199"/>
    <x v="7"/>
    <n v="54"/>
    <x v="1"/>
    <x v="2"/>
    <n v="30"/>
    <x v="0"/>
    <x v="0"/>
    <n v="199"/>
    <x v="2"/>
    <x v="3"/>
  </r>
  <r>
    <x v="447"/>
    <x v="231"/>
    <n v="2023"/>
    <s v="Feb"/>
    <x v="0"/>
    <x v="0"/>
    <n v="53"/>
    <x v="1"/>
    <x v="0"/>
    <n v="499"/>
    <x v="7"/>
    <n v="31"/>
    <x v="3"/>
    <x v="3"/>
    <n v="31"/>
    <x v="0"/>
    <x v="2"/>
    <n v="499"/>
    <x v="0"/>
    <x v="0"/>
  </r>
  <r>
    <x v="448"/>
    <x v="371"/>
    <n v="2023"/>
    <s v="Aug"/>
    <x v="1"/>
    <x v="2"/>
    <n v="35"/>
    <x v="0"/>
    <x v="2"/>
    <n v="649"/>
    <x v="6"/>
    <n v="60"/>
    <x v="3"/>
    <x v="0"/>
    <n v="36"/>
    <x v="0"/>
    <x v="2"/>
    <n v="649"/>
    <x v="3"/>
    <x v="3"/>
  </r>
  <r>
    <x v="449"/>
    <x v="374"/>
    <n v="2022"/>
    <s v="Nov"/>
    <x v="3"/>
    <x v="0"/>
    <n v="23"/>
    <x v="1"/>
    <x v="1"/>
    <n v="199"/>
    <x v="5"/>
    <n v="34"/>
    <x v="1"/>
    <x v="1"/>
    <n v="2"/>
    <x v="0"/>
    <x v="2"/>
    <n v="199"/>
    <x v="1"/>
    <x v="0"/>
  </r>
  <r>
    <x v="450"/>
    <x v="375"/>
    <n v="2023"/>
    <s v="Jun"/>
    <x v="1"/>
    <x v="1"/>
    <n v="55"/>
    <x v="1"/>
    <x v="2"/>
    <n v="649"/>
    <x v="3"/>
    <n v="41"/>
    <x v="2"/>
    <x v="3"/>
    <n v="43"/>
    <x v="0"/>
    <x v="1"/>
    <n v="649"/>
    <x v="4"/>
    <x v="1"/>
  </r>
  <r>
    <x v="451"/>
    <x v="376"/>
    <n v="2023"/>
    <s v="Oct"/>
    <x v="0"/>
    <x v="1"/>
    <n v="31"/>
    <x v="1"/>
    <x v="0"/>
    <n v="499"/>
    <x v="6"/>
    <n v="58"/>
    <x v="3"/>
    <x v="0"/>
    <n v="17"/>
    <x v="0"/>
    <x v="0"/>
    <n v="499"/>
    <x v="2"/>
    <x v="3"/>
  </r>
  <r>
    <x v="452"/>
    <x v="377"/>
    <n v="2024"/>
    <s v="Sep"/>
    <x v="0"/>
    <x v="2"/>
    <n v="37"/>
    <x v="1"/>
    <x v="1"/>
    <n v="199"/>
    <x v="1"/>
    <n v="57"/>
    <x v="3"/>
    <x v="2"/>
    <n v="12"/>
    <x v="0"/>
    <x v="2"/>
    <n v="199"/>
    <x v="3"/>
    <x v="3"/>
  </r>
  <r>
    <x v="453"/>
    <x v="378"/>
    <n v="2025"/>
    <s v="May"/>
    <x v="3"/>
    <x v="0"/>
    <n v="19"/>
    <x v="1"/>
    <x v="2"/>
    <n v="649"/>
    <x v="7"/>
    <n v="25"/>
    <x v="0"/>
    <x v="0"/>
    <n v="4"/>
    <x v="0"/>
    <x v="1"/>
    <n v="649"/>
    <x v="1"/>
    <x v="0"/>
  </r>
  <r>
    <x v="454"/>
    <x v="35"/>
    <n v="2023"/>
    <s v="Nov"/>
    <x v="3"/>
    <x v="1"/>
    <n v="27"/>
    <x v="0"/>
    <x v="2"/>
    <n v="649"/>
    <x v="8"/>
    <n v="30"/>
    <x v="1"/>
    <x v="1"/>
    <n v="24"/>
    <x v="0"/>
    <x v="0"/>
    <n v="649"/>
    <x v="2"/>
    <x v="0"/>
  </r>
  <r>
    <x v="455"/>
    <x v="379"/>
    <n v="2025"/>
    <s v="Apr"/>
    <x v="0"/>
    <x v="1"/>
    <n v="23"/>
    <x v="1"/>
    <x v="2"/>
    <n v="649"/>
    <x v="0"/>
    <n v="42"/>
    <x v="3"/>
    <x v="3"/>
    <n v="32"/>
    <x v="0"/>
    <x v="1"/>
    <n v="649"/>
    <x v="1"/>
    <x v="1"/>
  </r>
  <r>
    <x v="456"/>
    <x v="380"/>
    <n v="2023"/>
    <s v="Aug"/>
    <x v="3"/>
    <x v="2"/>
    <n v="32"/>
    <x v="1"/>
    <x v="2"/>
    <n v="649"/>
    <x v="0"/>
    <n v="31"/>
    <x v="0"/>
    <x v="0"/>
    <n v="23"/>
    <x v="0"/>
    <x v="1"/>
    <n v="649"/>
    <x v="2"/>
    <x v="0"/>
  </r>
  <r>
    <x v="457"/>
    <x v="381"/>
    <n v="2024"/>
    <s v="Dec"/>
    <x v="0"/>
    <x v="0"/>
    <n v="53"/>
    <x v="1"/>
    <x v="0"/>
    <n v="499"/>
    <x v="8"/>
    <n v="60"/>
    <x v="0"/>
    <x v="1"/>
    <n v="33"/>
    <x v="0"/>
    <x v="2"/>
    <n v="499"/>
    <x v="0"/>
    <x v="3"/>
  </r>
  <r>
    <x v="458"/>
    <x v="382"/>
    <n v="2025"/>
    <s v="Sep"/>
    <x v="0"/>
    <x v="0"/>
    <n v="22"/>
    <x v="1"/>
    <x v="1"/>
    <n v="199"/>
    <x v="7"/>
    <n v="24"/>
    <x v="1"/>
    <x v="1"/>
    <n v="42"/>
    <x v="1"/>
    <x v="2"/>
    <n v="0"/>
    <x v="1"/>
    <x v="0"/>
  </r>
  <r>
    <x v="459"/>
    <x v="98"/>
    <n v="2024"/>
    <s v="Apr"/>
    <x v="2"/>
    <x v="0"/>
    <n v="55"/>
    <x v="0"/>
    <x v="1"/>
    <n v="199"/>
    <x v="2"/>
    <n v="27"/>
    <x v="0"/>
    <x v="3"/>
    <n v="48"/>
    <x v="0"/>
    <x v="2"/>
    <n v="199"/>
    <x v="4"/>
    <x v="0"/>
  </r>
  <r>
    <x v="460"/>
    <x v="383"/>
    <n v="2022"/>
    <s v="Jul"/>
    <x v="1"/>
    <x v="1"/>
    <n v="37"/>
    <x v="0"/>
    <x v="0"/>
    <n v="499"/>
    <x v="4"/>
    <n v="42"/>
    <x v="0"/>
    <x v="3"/>
    <n v="27"/>
    <x v="0"/>
    <x v="2"/>
    <n v="499"/>
    <x v="3"/>
    <x v="1"/>
  </r>
  <r>
    <x v="461"/>
    <x v="384"/>
    <n v="2023"/>
    <s v="May"/>
    <x v="0"/>
    <x v="2"/>
    <n v="52"/>
    <x v="0"/>
    <x v="1"/>
    <n v="199"/>
    <x v="3"/>
    <n v="52"/>
    <x v="2"/>
    <x v="3"/>
    <n v="10"/>
    <x v="0"/>
    <x v="0"/>
    <n v="199"/>
    <x v="0"/>
    <x v="3"/>
  </r>
  <r>
    <x v="462"/>
    <x v="199"/>
    <n v="2025"/>
    <s v="Nov"/>
    <x v="0"/>
    <x v="0"/>
    <n v="39"/>
    <x v="1"/>
    <x v="1"/>
    <n v="199"/>
    <x v="6"/>
    <n v="60"/>
    <x v="3"/>
    <x v="3"/>
    <n v="41"/>
    <x v="0"/>
    <x v="1"/>
    <n v="199"/>
    <x v="3"/>
    <x v="3"/>
  </r>
  <r>
    <x v="463"/>
    <x v="385"/>
    <n v="2024"/>
    <s v="May"/>
    <x v="0"/>
    <x v="0"/>
    <n v="26"/>
    <x v="0"/>
    <x v="2"/>
    <n v="649"/>
    <x v="5"/>
    <n v="47"/>
    <x v="3"/>
    <x v="0"/>
    <n v="44"/>
    <x v="0"/>
    <x v="0"/>
    <n v="649"/>
    <x v="2"/>
    <x v="1"/>
  </r>
  <r>
    <x v="464"/>
    <x v="386"/>
    <n v="2022"/>
    <s v="Jan"/>
    <x v="1"/>
    <x v="0"/>
    <n v="34"/>
    <x v="0"/>
    <x v="1"/>
    <n v="199"/>
    <x v="1"/>
    <n v="38"/>
    <x v="2"/>
    <x v="3"/>
    <n v="46"/>
    <x v="0"/>
    <x v="0"/>
    <n v="199"/>
    <x v="2"/>
    <x v="1"/>
  </r>
  <r>
    <x v="465"/>
    <x v="387"/>
    <n v="2024"/>
    <s v="Jun"/>
    <x v="3"/>
    <x v="1"/>
    <n v="36"/>
    <x v="0"/>
    <x v="1"/>
    <n v="199"/>
    <x v="7"/>
    <n v="25"/>
    <x v="0"/>
    <x v="0"/>
    <n v="9"/>
    <x v="1"/>
    <x v="0"/>
    <n v="0"/>
    <x v="3"/>
    <x v="0"/>
  </r>
  <r>
    <x v="466"/>
    <x v="222"/>
    <n v="2024"/>
    <s v="Dec"/>
    <x v="0"/>
    <x v="0"/>
    <n v="30"/>
    <x v="0"/>
    <x v="0"/>
    <n v="499"/>
    <x v="0"/>
    <n v="34"/>
    <x v="0"/>
    <x v="3"/>
    <n v="38"/>
    <x v="0"/>
    <x v="1"/>
    <n v="499"/>
    <x v="2"/>
    <x v="0"/>
  </r>
  <r>
    <x v="467"/>
    <x v="162"/>
    <n v="2024"/>
    <s v="Nov"/>
    <x v="1"/>
    <x v="1"/>
    <n v="25"/>
    <x v="0"/>
    <x v="0"/>
    <n v="499"/>
    <x v="1"/>
    <n v="45"/>
    <x v="2"/>
    <x v="0"/>
    <n v="35"/>
    <x v="1"/>
    <x v="3"/>
    <n v="0"/>
    <x v="2"/>
    <x v="1"/>
  </r>
  <r>
    <x v="468"/>
    <x v="388"/>
    <n v="2025"/>
    <s v="Nov"/>
    <x v="2"/>
    <x v="2"/>
    <n v="22"/>
    <x v="1"/>
    <x v="2"/>
    <n v="649"/>
    <x v="1"/>
    <n v="25"/>
    <x v="2"/>
    <x v="0"/>
    <n v="8"/>
    <x v="0"/>
    <x v="0"/>
    <n v="649"/>
    <x v="1"/>
    <x v="0"/>
  </r>
  <r>
    <x v="469"/>
    <x v="389"/>
    <n v="2024"/>
    <s v="Jun"/>
    <x v="0"/>
    <x v="2"/>
    <n v="18"/>
    <x v="1"/>
    <x v="1"/>
    <n v="199"/>
    <x v="0"/>
    <n v="48"/>
    <x v="3"/>
    <x v="1"/>
    <n v="10"/>
    <x v="0"/>
    <x v="2"/>
    <n v="199"/>
    <x v="1"/>
    <x v="1"/>
  </r>
  <r>
    <x v="470"/>
    <x v="390"/>
    <n v="2023"/>
    <s v="Apr"/>
    <x v="1"/>
    <x v="2"/>
    <n v="29"/>
    <x v="1"/>
    <x v="2"/>
    <n v="649"/>
    <x v="1"/>
    <n v="24"/>
    <x v="0"/>
    <x v="0"/>
    <n v="30"/>
    <x v="0"/>
    <x v="2"/>
    <n v="649"/>
    <x v="2"/>
    <x v="0"/>
  </r>
  <r>
    <x v="471"/>
    <x v="391"/>
    <n v="2023"/>
    <s v="Sep"/>
    <x v="1"/>
    <x v="2"/>
    <n v="18"/>
    <x v="0"/>
    <x v="2"/>
    <n v="649"/>
    <x v="1"/>
    <n v="52"/>
    <x v="1"/>
    <x v="2"/>
    <n v="32"/>
    <x v="0"/>
    <x v="1"/>
    <n v="649"/>
    <x v="1"/>
    <x v="3"/>
  </r>
  <r>
    <x v="472"/>
    <x v="70"/>
    <n v="2023"/>
    <s v="Jul"/>
    <x v="0"/>
    <x v="2"/>
    <n v="42"/>
    <x v="1"/>
    <x v="2"/>
    <n v="649"/>
    <x v="7"/>
    <n v="53"/>
    <x v="0"/>
    <x v="1"/>
    <n v="36"/>
    <x v="0"/>
    <x v="0"/>
    <n v="649"/>
    <x v="3"/>
    <x v="3"/>
  </r>
  <r>
    <x v="473"/>
    <x v="317"/>
    <n v="2022"/>
    <s v="Feb"/>
    <x v="3"/>
    <x v="2"/>
    <n v="22"/>
    <x v="1"/>
    <x v="2"/>
    <n v="649"/>
    <x v="5"/>
    <n v="48"/>
    <x v="3"/>
    <x v="1"/>
    <n v="13"/>
    <x v="0"/>
    <x v="0"/>
    <n v="649"/>
    <x v="1"/>
    <x v="1"/>
  </r>
  <r>
    <x v="474"/>
    <x v="392"/>
    <n v="2022"/>
    <s v="Oct"/>
    <x v="1"/>
    <x v="1"/>
    <n v="30"/>
    <x v="1"/>
    <x v="2"/>
    <n v="649"/>
    <x v="2"/>
    <n v="36"/>
    <x v="2"/>
    <x v="1"/>
    <n v="39"/>
    <x v="0"/>
    <x v="2"/>
    <n v="649"/>
    <x v="2"/>
    <x v="1"/>
  </r>
  <r>
    <x v="475"/>
    <x v="393"/>
    <n v="2024"/>
    <s v="Jan"/>
    <x v="1"/>
    <x v="2"/>
    <n v="24"/>
    <x v="1"/>
    <x v="2"/>
    <n v="649"/>
    <x v="6"/>
    <n v="21"/>
    <x v="1"/>
    <x v="3"/>
    <n v="27"/>
    <x v="0"/>
    <x v="1"/>
    <n v="649"/>
    <x v="1"/>
    <x v="0"/>
  </r>
  <r>
    <x v="476"/>
    <x v="346"/>
    <n v="2025"/>
    <s v="Nov"/>
    <x v="1"/>
    <x v="2"/>
    <n v="29"/>
    <x v="0"/>
    <x v="0"/>
    <n v="499"/>
    <x v="2"/>
    <n v="35"/>
    <x v="2"/>
    <x v="3"/>
    <n v="32"/>
    <x v="0"/>
    <x v="0"/>
    <n v="499"/>
    <x v="2"/>
    <x v="0"/>
  </r>
  <r>
    <x v="477"/>
    <x v="391"/>
    <n v="2023"/>
    <s v="Sep"/>
    <x v="2"/>
    <x v="1"/>
    <n v="45"/>
    <x v="0"/>
    <x v="0"/>
    <n v="499"/>
    <x v="3"/>
    <n v="57"/>
    <x v="0"/>
    <x v="3"/>
    <n v="12"/>
    <x v="1"/>
    <x v="3"/>
    <n v="0"/>
    <x v="0"/>
    <x v="3"/>
  </r>
  <r>
    <x v="478"/>
    <x v="394"/>
    <n v="2024"/>
    <s v="Jan"/>
    <x v="1"/>
    <x v="0"/>
    <n v="46"/>
    <x v="0"/>
    <x v="1"/>
    <n v="199"/>
    <x v="0"/>
    <n v="55"/>
    <x v="3"/>
    <x v="3"/>
    <n v="2"/>
    <x v="0"/>
    <x v="1"/>
    <n v="199"/>
    <x v="0"/>
    <x v="3"/>
  </r>
  <r>
    <x v="479"/>
    <x v="375"/>
    <n v="2023"/>
    <s v="Jun"/>
    <x v="3"/>
    <x v="1"/>
    <n v="20"/>
    <x v="1"/>
    <x v="0"/>
    <n v="499"/>
    <x v="8"/>
    <n v="43"/>
    <x v="2"/>
    <x v="1"/>
    <n v="44"/>
    <x v="1"/>
    <x v="2"/>
    <n v="0"/>
    <x v="1"/>
    <x v="1"/>
  </r>
  <r>
    <x v="480"/>
    <x v="395"/>
    <n v="2023"/>
    <s v="May"/>
    <x v="1"/>
    <x v="1"/>
    <n v="45"/>
    <x v="1"/>
    <x v="0"/>
    <n v="499"/>
    <x v="8"/>
    <n v="44"/>
    <x v="1"/>
    <x v="0"/>
    <n v="38"/>
    <x v="0"/>
    <x v="0"/>
    <n v="499"/>
    <x v="0"/>
    <x v="1"/>
  </r>
  <r>
    <x v="481"/>
    <x v="396"/>
    <n v="2024"/>
    <s v="Aug"/>
    <x v="2"/>
    <x v="0"/>
    <n v="32"/>
    <x v="0"/>
    <x v="1"/>
    <n v="199"/>
    <x v="3"/>
    <n v="24"/>
    <x v="3"/>
    <x v="0"/>
    <n v="17"/>
    <x v="0"/>
    <x v="2"/>
    <n v="199"/>
    <x v="2"/>
    <x v="0"/>
  </r>
  <r>
    <x v="482"/>
    <x v="241"/>
    <n v="2025"/>
    <s v="Dec"/>
    <x v="1"/>
    <x v="0"/>
    <n v="30"/>
    <x v="0"/>
    <x v="2"/>
    <n v="649"/>
    <x v="6"/>
    <n v="47"/>
    <x v="2"/>
    <x v="0"/>
    <n v="38"/>
    <x v="0"/>
    <x v="1"/>
    <n v="649"/>
    <x v="2"/>
    <x v="1"/>
  </r>
  <r>
    <x v="483"/>
    <x v="397"/>
    <n v="2024"/>
    <s v="Nov"/>
    <x v="0"/>
    <x v="1"/>
    <n v="40"/>
    <x v="1"/>
    <x v="0"/>
    <n v="499"/>
    <x v="0"/>
    <n v="30"/>
    <x v="0"/>
    <x v="2"/>
    <n v="28"/>
    <x v="0"/>
    <x v="0"/>
    <n v="499"/>
    <x v="3"/>
    <x v="0"/>
  </r>
  <r>
    <x v="484"/>
    <x v="203"/>
    <n v="2023"/>
    <s v="Apr"/>
    <x v="0"/>
    <x v="2"/>
    <n v="38"/>
    <x v="0"/>
    <x v="0"/>
    <n v="499"/>
    <x v="3"/>
    <n v="60"/>
    <x v="2"/>
    <x v="1"/>
    <n v="48"/>
    <x v="0"/>
    <x v="0"/>
    <n v="499"/>
    <x v="3"/>
    <x v="3"/>
  </r>
  <r>
    <x v="485"/>
    <x v="398"/>
    <n v="2022"/>
    <s v="Jun"/>
    <x v="2"/>
    <x v="2"/>
    <n v="45"/>
    <x v="1"/>
    <x v="1"/>
    <n v="199"/>
    <x v="3"/>
    <n v="32"/>
    <x v="3"/>
    <x v="0"/>
    <n v="45"/>
    <x v="0"/>
    <x v="0"/>
    <n v="199"/>
    <x v="0"/>
    <x v="0"/>
  </r>
  <r>
    <x v="486"/>
    <x v="399"/>
    <n v="2023"/>
    <s v="Jul"/>
    <x v="3"/>
    <x v="1"/>
    <n v="32"/>
    <x v="1"/>
    <x v="0"/>
    <n v="499"/>
    <x v="1"/>
    <n v="33"/>
    <x v="0"/>
    <x v="3"/>
    <n v="37"/>
    <x v="0"/>
    <x v="0"/>
    <n v="499"/>
    <x v="2"/>
    <x v="0"/>
  </r>
  <r>
    <x v="487"/>
    <x v="400"/>
    <n v="2022"/>
    <s v="Apr"/>
    <x v="3"/>
    <x v="0"/>
    <n v="41"/>
    <x v="1"/>
    <x v="2"/>
    <n v="649"/>
    <x v="6"/>
    <n v="25"/>
    <x v="0"/>
    <x v="1"/>
    <n v="48"/>
    <x v="0"/>
    <x v="2"/>
    <n v="649"/>
    <x v="3"/>
    <x v="0"/>
  </r>
  <r>
    <x v="488"/>
    <x v="319"/>
    <n v="2024"/>
    <s v="Jun"/>
    <x v="0"/>
    <x v="2"/>
    <n v="27"/>
    <x v="1"/>
    <x v="0"/>
    <n v="499"/>
    <x v="3"/>
    <n v="38"/>
    <x v="0"/>
    <x v="1"/>
    <n v="10"/>
    <x v="0"/>
    <x v="1"/>
    <n v="499"/>
    <x v="2"/>
    <x v="1"/>
  </r>
  <r>
    <x v="489"/>
    <x v="401"/>
    <n v="2024"/>
    <s v="Jun"/>
    <x v="0"/>
    <x v="1"/>
    <n v="26"/>
    <x v="1"/>
    <x v="1"/>
    <n v="199"/>
    <x v="4"/>
    <n v="31"/>
    <x v="0"/>
    <x v="1"/>
    <n v="42"/>
    <x v="0"/>
    <x v="0"/>
    <n v="199"/>
    <x v="2"/>
    <x v="0"/>
  </r>
  <r>
    <x v="490"/>
    <x v="358"/>
    <n v="2024"/>
    <s v="Feb"/>
    <x v="1"/>
    <x v="0"/>
    <n v="52"/>
    <x v="0"/>
    <x v="0"/>
    <n v="499"/>
    <x v="6"/>
    <n v="50"/>
    <x v="0"/>
    <x v="3"/>
    <n v="7"/>
    <x v="0"/>
    <x v="0"/>
    <n v="499"/>
    <x v="0"/>
    <x v="1"/>
  </r>
  <r>
    <x v="491"/>
    <x v="402"/>
    <n v="2024"/>
    <s v="Jan"/>
    <x v="3"/>
    <x v="1"/>
    <n v="50"/>
    <x v="1"/>
    <x v="1"/>
    <n v="199"/>
    <x v="8"/>
    <n v="47"/>
    <x v="1"/>
    <x v="1"/>
    <n v="3"/>
    <x v="0"/>
    <x v="2"/>
    <n v="199"/>
    <x v="0"/>
    <x v="1"/>
  </r>
  <r>
    <x v="492"/>
    <x v="403"/>
    <n v="2024"/>
    <s v="Jan"/>
    <x v="0"/>
    <x v="1"/>
    <n v="54"/>
    <x v="0"/>
    <x v="0"/>
    <n v="499"/>
    <x v="3"/>
    <n v="21"/>
    <x v="2"/>
    <x v="1"/>
    <n v="48"/>
    <x v="0"/>
    <x v="2"/>
    <n v="499"/>
    <x v="0"/>
    <x v="0"/>
  </r>
  <r>
    <x v="493"/>
    <x v="379"/>
    <n v="2025"/>
    <s v="Apr"/>
    <x v="3"/>
    <x v="1"/>
    <n v="53"/>
    <x v="0"/>
    <x v="1"/>
    <n v="199"/>
    <x v="1"/>
    <n v="22"/>
    <x v="3"/>
    <x v="0"/>
    <n v="43"/>
    <x v="0"/>
    <x v="0"/>
    <n v="199"/>
    <x v="0"/>
    <x v="0"/>
  </r>
  <r>
    <x v="494"/>
    <x v="404"/>
    <n v="2024"/>
    <s v="Mar"/>
    <x v="0"/>
    <x v="0"/>
    <n v="46"/>
    <x v="1"/>
    <x v="0"/>
    <n v="499"/>
    <x v="2"/>
    <n v="40"/>
    <x v="0"/>
    <x v="0"/>
    <n v="7"/>
    <x v="1"/>
    <x v="2"/>
    <n v="0"/>
    <x v="0"/>
    <x v="1"/>
  </r>
  <r>
    <x v="495"/>
    <x v="60"/>
    <n v="2024"/>
    <s v="Oct"/>
    <x v="0"/>
    <x v="1"/>
    <n v="25"/>
    <x v="0"/>
    <x v="0"/>
    <n v="499"/>
    <x v="3"/>
    <n v="50"/>
    <x v="0"/>
    <x v="1"/>
    <n v="39"/>
    <x v="1"/>
    <x v="1"/>
    <n v="0"/>
    <x v="2"/>
    <x v="1"/>
  </r>
  <r>
    <x v="496"/>
    <x v="405"/>
    <n v="2023"/>
    <s v="Feb"/>
    <x v="3"/>
    <x v="0"/>
    <n v="50"/>
    <x v="1"/>
    <x v="1"/>
    <n v="199"/>
    <x v="7"/>
    <n v="27"/>
    <x v="3"/>
    <x v="2"/>
    <n v="25"/>
    <x v="0"/>
    <x v="2"/>
    <n v="199"/>
    <x v="0"/>
    <x v="0"/>
  </r>
  <r>
    <x v="497"/>
    <x v="406"/>
    <n v="2024"/>
    <s v="Oct"/>
    <x v="0"/>
    <x v="0"/>
    <n v="38"/>
    <x v="1"/>
    <x v="2"/>
    <n v="649"/>
    <x v="4"/>
    <n v="41"/>
    <x v="2"/>
    <x v="3"/>
    <n v="18"/>
    <x v="0"/>
    <x v="1"/>
    <n v="649"/>
    <x v="3"/>
    <x v="1"/>
  </r>
  <r>
    <x v="498"/>
    <x v="407"/>
    <n v="2024"/>
    <s v="Dec"/>
    <x v="1"/>
    <x v="1"/>
    <n v="46"/>
    <x v="1"/>
    <x v="2"/>
    <n v="649"/>
    <x v="3"/>
    <n v="37"/>
    <x v="0"/>
    <x v="1"/>
    <n v="19"/>
    <x v="0"/>
    <x v="0"/>
    <n v="649"/>
    <x v="0"/>
    <x v="1"/>
  </r>
  <r>
    <x v="499"/>
    <x v="226"/>
    <n v="2022"/>
    <s v="Aug"/>
    <x v="1"/>
    <x v="2"/>
    <n v="47"/>
    <x v="0"/>
    <x v="1"/>
    <n v="199"/>
    <x v="6"/>
    <n v="43"/>
    <x v="3"/>
    <x v="0"/>
    <n v="42"/>
    <x v="1"/>
    <x v="1"/>
    <n v="0"/>
    <x v="0"/>
    <x v="1"/>
  </r>
  <r>
    <x v="500"/>
    <x v="408"/>
    <n v="2023"/>
    <s v="Sep"/>
    <x v="3"/>
    <x v="2"/>
    <n v="38"/>
    <x v="0"/>
    <x v="0"/>
    <n v="499"/>
    <x v="3"/>
    <n v="49"/>
    <x v="2"/>
    <x v="2"/>
    <n v="30"/>
    <x v="0"/>
    <x v="2"/>
    <n v="499"/>
    <x v="3"/>
    <x v="1"/>
  </r>
  <r>
    <x v="501"/>
    <x v="409"/>
    <n v="2023"/>
    <s v="Mar"/>
    <x v="2"/>
    <x v="2"/>
    <n v="40"/>
    <x v="1"/>
    <x v="1"/>
    <n v="199"/>
    <x v="1"/>
    <n v="53"/>
    <x v="3"/>
    <x v="1"/>
    <n v="13"/>
    <x v="1"/>
    <x v="0"/>
    <n v="0"/>
    <x v="3"/>
    <x v="3"/>
  </r>
  <r>
    <x v="502"/>
    <x v="410"/>
    <n v="2024"/>
    <s v="Nov"/>
    <x v="0"/>
    <x v="1"/>
    <n v="41"/>
    <x v="0"/>
    <x v="1"/>
    <n v="199"/>
    <x v="6"/>
    <n v="31"/>
    <x v="0"/>
    <x v="0"/>
    <n v="35"/>
    <x v="0"/>
    <x v="1"/>
    <n v="199"/>
    <x v="3"/>
    <x v="0"/>
  </r>
  <r>
    <x v="503"/>
    <x v="411"/>
    <n v="2025"/>
    <s v="Aug"/>
    <x v="2"/>
    <x v="0"/>
    <n v="18"/>
    <x v="1"/>
    <x v="0"/>
    <n v="499"/>
    <x v="3"/>
    <n v="26"/>
    <x v="1"/>
    <x v="3"/>
    <n v="28"/>
    <x v="0"/>
    <x v="1"/>
    <n v="499"/>
    <x v="1"/>
    <x v="0"/>
  </r>
  <r>
    <x v="504"/>
    <x v="412"/>
    <n v="2024"/>
    <s v="Nov"/>
    <x v="2"/>
    <x v="2"/>
    <n v="36"/>
    <x v="1"/>
    <x v="0"/>
    <n v="499"/>
    <x v="6"/>
    <n v="30"/>
    <x v="3"/>
    <x v="1"/>
    <n v="36"/>
    <x v="0"/>
    <x v="0"/>
    <n v="499"/>
    <x v="3"/>
    <x v="0"/>
  </r>
  <r>
    <x v="505"/>
    <x v="29"/>
    <n v="2023"/>
    <s v="Apr"/>
    <x v="2"/>
    <x v="2"/>
    <n v="29"/>
    <x v="0"/>
    <x v="0"/>
    <n v="499"/>
    <x v="6"/>
    <n v="44"/>
    <x v="0"/>
    <x v="0"/>
    <n v="14"/>
    <x v="0"/>
    <x v="2"/>
    <n v="499"/>
    <x v="2"/>
    <x v="1"/>
  </r>
  <r>
    <x v="506"/>
    <x v="369"/>
    <n v="2023"/>
    <s v="Jan"/>
    <x v="3"/>
    <x v="1"/>
    <n v="25"/>
    <x v="1"/>
    <x v="1"/>
    <n v="199"/>
    <x v="4"/>
    <n v="58"/>
    <x v="1"/>
    <x v="3"/>
    <n v="12"/>
    <x v="0"/>
    <x v="1"/>
    <n v="199"/>
    <x v="2"/>
    <x v="3"/>
  </r>
  <r>
    <x v="507"/>
    <x v="413"/>
    <n v="2024"/>
    <s v="Mar"/>
    <x v="1"/>
    <x v="0"/>
    <n v="44"/>
    <x v="1"/>
    <x v="1"/>
    <n v="199"/>
    <x v="5"/>
    <n v="21"/>
    <x v="1"/>
    <x v="2"/>
    <n v="25"/>
    <x v="1"/>
    <x v="3"/>
    <n v="0"/>
    <x v="3"/>
    <x v="0"/>
  </r>
  <r>
    <x v="508"/>
    <x v="147"/>
    <n v="2024"/>
    <s v="May"/>
    <x v="1"/>
    <x v="2"/>
    <n v="51"/>
    <x v="0"/>
    <x v="1"/>
    <n v="199"/>
    <x v="7"/>
    <n v="58"/>
    <x v="0"/>
    <x v="0"/>
    <n v="7"/>
    <x v="0"/>
    <x v="0"/>
    <n v="199"/>
    <x v="0"/>
    <x v="3"/>
  </r>
  <r>
    <x v="509"/>
    <x v="244"/>
    <n v="2024"/>
    <s v="Aug"/>
    <x v="2"/>
    <x v="2"/>
    <n v="53"/>
    <x v="1"/>
    <x v="0"/>
    <n v="499"/>
    <x v="1"/>
    <n v="44"/>
    <x v="1"/>
    <x v="2"/>
    <n v="5"/>
    <x v="0"/>
    <x v="0"/>
    <n v="499"/>
    <x v="0"/>
    <x v="1"/>
  </r>
  <r>
    <x v="510"/>
    <x v="414"/>
    <n v="2025"/>
    <s v="May"/>
    <x v="2"/>
    <x v="0"/>
    <n v="39"/>
    <x v="1"/>
    <x v="1"/>
    <n v="199"/>
    <x v="4"/>
    <n v="48"/>
    <x v="1"/>
    <x v="1"/>
    <n v="32"/>
    <x v="0"/>
    <x v="1"/>
    <n v="199"/>
    <x v="3"/>
    <x v="1"/>
  </r>
  <r>
    <x v="511"/>
    <x v="409"/>
    <n v="2023"/>
    <s v="Mar"/>
    <x v="3"/>
    <x v="0"/>
    <n v="32"/>
    <x v="0"/>
    <x v="0"/>
    <n v="499"/>
    <x v="2"/>
    <n v="25"/>
    <x v="2"/>
    <x v="0"/>
    <n v="2"/>
    <x v="0"/>
    <x v="0"/>
    <n v="499"/>
    <x v="2"/>
    <x v="0"/>
  </r>
  <r>
    <x v="512"/>
    <x v="284"/>
    <n v="2024"/>
    <s v="Oct"/>
    <x v="3"/>
    <x v="2"/>
    <n v="26"/>
    <x v="0"/>
    <x v="1"/>
    <n v="199"/>
    <x v="4"/>
    <n v="54"/>
    <x v="2"/>
    <x v="2"/>
    <n v="25"/>
    <x v="0"/>
    <x v="1"/>
    <n v="199"/>
    <x v="2"/>
    <x v="3"/>
  </r>
  <r>
    <x v="513"/>
    <x v="415"/>
    <n v="2022"/>
    <s v="May"/>
    <x v="0"/>
    <x v="1"/>
    <n v="22"/>
    <x v="1"/>
    <x v="0"/>
    <n v="499"/>
    <x v="8"/>
    <n v="52"/>
    <x v="3"/>
    <x v="1"/>
    <n v="32"/>
    <x v="1"/>
    <x v="3"/>
    <n v="0"/>
    <x v="1"/>
    <x v="3"/>
  </r>
  <r>
    <x v="514"/>
    <x v="416"/>
    <n v="2023"/>
    <s v="Jan"/>
    <x v="1"/>
    <x v="2"/>
    <n v="47"/>
    <x v="1"/>
    <x v="1"/>
    <n v="199"/>
    <x v="4"/>
    <n v="34"/>
    <x v="0"/>
    <x v="1"/>
    <n v="48"/>
    <x v="0"/>
    <x v="2"/>
    <n v="199"/>
    <x v="0"/>
    <x v="0"/>
  </r>
  <r>
    <x v="515"/>
    <x v="417"/>
    <n v="2024"/>
    <s v="Jun"/>
    <x v="1"/>
    <x v="2"/>
    <n v="20"/>
    <x v="1"/>
    <x v="2"/>
    <n v="649"/>
    <x v="6"/>
    <n v="48"/>
    <x v="3"/>
    <x v="3"/>
    <n v="45"/>
    <x v="0"/>
    <x v="1"/>
    <n v="649"/>
    <x v="1"/>
    <x v="1"/>
  </r>
  <r>
    <x v="516"/>
    <x v="418"/>
    <n v="2022"/>
    <s v="Nov"/>
    <x v="2"/>
    <x v="2"/>
    <n v="38"/>
    <x v="1"/>
    <x v="2"/>
    <n v="649"/>
    <x v="5"/>
    <n v="30"/>
    <x v="2"/>
    <x v="1"/>
    <n v="15"/>
    <x v="0"/>
    <x v="0"/>
    <n v="649"/>
    <x v="3"/>
    <x v="0"/>
  </r>
  <r>
    <x v="517"/>
    <x v="419"/>
    <n v="2024"/>
    <s v="Nov"/>
    <x v="3"/>
    <x v="2"/>
    <n v="42"/>
    <x v="1"/>
    <x v="0"/>
    <n v="499"/>
    <x v="6"/>
    <n v="46"/>
    <x v="3"/>
    <x v="3"/>
    <n v="29"/>
    <x v="0"/>
    <x v="0"/>
    <n v="499"/>
    <x v="3"/>
    <x v="1"/>
  </r>
  <r>
    <x v="518"/>
    <x v="420"/>
    <n v="2023"/>
    <s v="Mar"/>
    <x v="1"/>
    <x v="2"/>
    <n v="24"/>
    <x v="1"/>
    <x v="2"/>
    <n v="649"/>
    <x v="4"/>
    <n v="24"/>
    <x v="3"/>
    <x v="2"/>
    <n v="12"/>
    <x v="0"/>
    <x v="2"/>
    <n v="649"/>
    <x v="1"/>
    <x v="0"/>
  </r>
  <r>
    <x v="519"/>
    <x v="421"/>
    <n v="2022"/>
    <s v="Dec"/>
    <x v="3"/>
    <x v="1"/>
    <n v="27"/>
    <x v="0"/>
    <x v="0"/>
    <n v="499"/>
    <x v="2"/>
    <n v="51"/>
    <x v="0"/>
    <x v="0"/>
    <n v="42"/>
    <x v="1"/>
    <x v="3"/>
    <n v="0"/>
    <x v="2"/>
    <x v="3"/>
  </r>
  <r>
    <x v="520"/>
    <x v="422"/>
    <n v="2025"/>
    <s v="Apr"/>
    <x v="2"/>
    <x v="2"/>
    <n v="44"/>
    <x v="0"/>
    <x v="0"/>
    <n v="499"/>
    <x v="2"/>
    <n v="25"/>
    <x v="3"/>
    <x v="2"/>
    <n v="26"/>
    <x v="0"/>
    <x v="2"/>
    <n v="499"/>
    <x v="3"/>
    <x v="0"/>
  </r>
  <r>
    <x v="521"/>
    <x v="423"/>
    <n v="2022"/>
    <s v="Nov"/>
    <x v="1"/>
    <x v="1"/>
    <n v="45"/>
    <x v="0"/>
    <x v="1"/>
    <n v="199"/>
    <x v="8"/>
    <n v="30"/>
    <x v="3"/>
    <x v="1"/>
    <n v="26"/>
    <x v="0"/>
    <x v="1"/>
    <n v="199"/>
    <x v="0"/>
    <x v="0"/>
  </r>
  <r>
    <x v="522"/>
    <x v="136"/>
    <n v="2025"/>
    <s v="Oct"/>
    <x v="3"/>
    <x v="0"/>
    <n v="31"/>
    <x v="1"/>
    <x v="1"/>
    <n v="199"/>
    <x v="3"/>
    <n v="54"/>
    <x v="2"/>
    <x v="0"/>
    <n v="42"/>
    <x v="0"/>
    <x v="1"/>
    <n v="199"/>
    <x v="2"/>
    <x v="3"/>
  </r>
  <r>
    <x v="523"/>
    <x v="424"/>
    <n v="2022"/>
    <s v="May"/>
    <x v="2"/>
    <x v="1"/>
    <n v="27"/>
    <x v="0"/>
    <x v="1"/>
    <n v="199"/>
    <x v="7"/>
    <n v="54"/>
    <x v="1"/>
    <x v="3"/>
    <n v="32"/>
    <x v="0"/>
    <x v="0"/>
    <n v="199"/>
    <x v="2"/>
    <x v="3"/>
  </r>
  <r>
    <x v="524"/>
    <x v="425"/>
    <n v="2022"/>
    <s v="Oct"/>
    <x v="1"/>
    <x v="1"/>
    <n v="27"/>
    <x v="0"/>
    <x v="0"/>
    <n v="499"/>
    <x v="3"/>
    <n v="23"/>
    <x v="3"/>
    <x v="2"/>
    <n v="48"/>
    <x v="0"/>
    <x v="1"/>
    <n v="499"/>
    <x v="2"/>
    <x v="0"/>
  </r>
  <r>
    <x v="525"/>
    <x v="426"/>
    <n v="2023"/>
    <s v="May"/>
    <x v="1"/>
    <x v="1"/>
    <n v="37"/>
    <x v="0"/>
    <x v="0"/>
    <n v="499"/>
    <x v="0"/>
    <n v="58"/>
    <x v="2"/>
    <x v="0"/>
    <n v="6"/>
    <x v="0"/>
    <x v="2"/>
    <n v="499"/>
    <x v="3"/>
    <x v="3"/>
  </r>
  <r>
    <x v="526"/>
    <x v="427"/>
    <n v="2023"/>
    <s v="Feb"/>
    <x v="0"/>
    <x v="1"/>
    <n v="46"/>
    <x v="0"/>
    <x v="0"/>
    <n v="499"/>
    <x v="7"/>
    <n v="60"/>
    <x v="3"/>
    <x v="2"/>
    <n v="19"/>
    <x v="0"/>
    <x v="2"/>
    <n v="499"/>
    <x v="0"/>
    <x v="3"/>
  </r>
  <r>
    <x v="527"/>
    <x v="428"/>
    <n v="2024"/>
    <s v="Jun"/>
    <x v="0"/>
    <x v="0"/>
    <n v="18"/>
    <x v="1"/>
    <x v="1"/>
    <n v="199"/>
    <x v="5"/>
    <n v="56"/>
    <x v="2"/>
    <x v="2"/>
    <n v="29"/>
    <x v="0"/>
    <x v="1"/>
    <n v="199"/>
    <x v="1"/>
    <x v="3"/>
  </r>
  <r>
    <x v="528"/>
    <x v="429"/>
    <n v="2025"/>
    <s v="Dec"/>
    <x v="2"/>
    <x v="2"/>
    <n v="28"/>
    <x v="0"/>
    <x v="1"/>
    <n v="199"/>
    <x v="0"/>
    <n v="33"/>
    <x v="2"/>
    <x v="2"/>
    <n v="32"/>
    <x v="0"/>
    <x v="1"/>
    <n v="199"/>
    <x v="2"/>
    <x v="0"/>
  </r>
  <r>
    <x v="529"/>
    <x v="430"/>
    <n v="2024"/>
    <s v="Sep"/>
    <x v="3"/>
    <x v="1"/>
    <n v="32"/>
    <x v="1"/>
    <x v="0"/>
    <n v="499"/>
    <x v="6"/>
    <n v="36"/>
    <x v="1"/>
    <x v="1"/>
    <n v="2"/>
    <x v="0"/>
    <x v="0"/>
    <n v="499"/>
    <x v="2"/>
    <x v="1"/>
  </r>
  <r>
    <x v="530"/>
    <x v="431"/>
    <n v="2024"/>
    <s v="Jul"/>
    <x v="0"/>
    <x v="2"/>
    <n v="28"/>
    <x v="0"/>
    <x v="0"/>
    <n v="499"/>
    <x v="7"/>
    <n v="38"/>
    <x v="3"/>
    <x v="2"/>
    <n v="9"/>
    <x v="0"/>
    <x v="0"/>
    <n v="499"/>
    <x v="2"/>
    <x v="1"/>
  </r>
  <r>
    <x v="531"/>
    <x v="432"/>
    <n v="2024"/>
    <s v="Aug"/>
    <x v="1"/>
    <x v="1"/>
    <n v="27"/>
    <x v="1"/>
    <x v="0"/>
    <n v="499"/>
    <x v="4"/>
    <n v="34"/>
    <x v="0"/>
    <x v="3"/>
    <n v="36"/>
    <x v="0"/>
    <x v="0"/>
    <n v="499"/>
    <x v="2"/>
    <x v="0"/>
  </r>
  <r>
    <x v="532"/>
    <x v="433"/>
    <n v="2023"/>
    <s v="Jun"/>
    <x v="0"/>
    <x v="1"/>
    <n v="49"/>
    <x v="1"/>
    <x v="1"/>
    <n v="199"/>
    <x v="3"/>
    <n v="44"/>
    <x v="1"/>
    <x v="1"/>
    <n v="39"/>
    <x v="1"/>
    <x v="1"/>
    <n v="0"/>
    <x v="0"/>
    <x v="1"/>
  </r>
  <r>
    <x v="533"/>
    <x v="434"/>
    <n v="2022"/>
    <s v="Mar"/>
    <x v="3"/>
    <x v="2"/>
    <n v="19"/>
    <x v="0"/>
    <x v="0"/>
    <n v="499"/>
    <x v="1"/>
    <n v="27"/>
    <x v="2"/>
    <x v="2"/>
    <n v="24"/>
    <x v="0"/>
    <x v="0"/>
    <n v="499"/>
    <x v="1"/>
    <x v="0"/>
  </r>
  <r>
    <x v="534"/>
    <x v="435"/>
    <n v="2024"/>
    <s v="Dec"/>
    <x v="1"/>
    <x v="1"/>
    <n v="33"/>
    <x v="0"/>
    <x v="2"/>
    <n v="649"/>
    <x v="1"/>
    <n v="26"/>
    <x v="3"/>
    <x v="2"/>
    <n v="41"/>
    <x v="0"/>
    <x v="2"/>
    <n v="649"/>
    <x v="2"/>
    <x v="0"/>
  </r>
  <r>
    <x v="535"/>
    <x v="273"/>
    <n v="2022"/>
    <s v="Jul"/>
    <x v="0"/>
    <x v="0"/>
    <n v="21"/>
    <x v="0"/>
    <x v="1"/>
    <n v="199"/>
    <x v="5"/>
    <n v="45"/>
    <x v="3"/>
    <x v="2"/>
    <n v="43"/>
    <x v="0"/>
    <x v="1"/>
    <n v="199"/>
    <x v="1"/>
    <x v="1"/>
  </r>
  <r>
    <x v="536"/>
    <x v="126"/>
    <n v="2022"/>
    <s v="Dec"/>
    <x v="2"/>
    <x v="1"/>
    <n v="25"/>
    <x v="0"/>
    <x v="0"/>
    <n v="499"/>
    <x v="1"/>
    <n v="28"/>
    <x v="2"/>
    <x v="0"/>
    <n v="41"/>
    <x v="0"/>
    <x v="0"/>
    <n v="499"/>
    <x v="2"/>
    <x v="0"/>
  </r>
  <r>
    <x v="537"/>
    <x v="436"/>
    <n v="2024"/>
    <s v="Mar"/>
    <x v="0"/>
    <x v="2"/>
    <n v="34"/>
    <x v="0"/>
    <x v="1"/>
    <n v="199"/>
    <x v="8"/>
    <n v="47"/>
    <x v="3"/>
    <x v="0"/>
    <n v="12"/>
    <x v="0"/>
    <x v="0"/>
    <n v="199"/>
    <x v="2"/>
    <x v="1"/>
  </r>
  <r>
    <x v="538"/>
    <x v="437"/>
    <n v="2025"/>
    <s v="Mar"/>
    <x v="0"/>
    <x v="1"/>
    <n v="41"/>
    <x v="1"/>
    <x v="1"/>
    <n v="199"/>
    <x v="3"/>
    <n v="44"/>
    <x v="1"/>
    <x v="2"/>
    <n v="13"/>
    <x v="0"/>
    <x v="1"/>
    <n v="199"/>
    <x v="3"/>
    <x v="1"/>
  </r>
  <r>
    <x v="539"/>
    <x v="35"/>
    <n v="2023"/>
    <s v="Nov"/>
    <x v="2"/>
    <x v="2"/>
    <n v="40"/>
    <x v="1"/>
    <x v="1"/>
    <n v="199"/>
    <x v="7"/>
    <n v="59"/>
    <x v="2"/>
    <x v="2"/>
    <n v="35"/>
    <x v="0"/>
    <x v="2"/>
    <n v="199"/>
    <x v="3"/>
    <x v="3"/>
  </r>
  <r>
    <x v="540"/>
    <x v="438"/>
    <n v="2024"/>
    <s v="Oct"/>
    <x v="2"/>
    <x v="1"/>
    <n v="24"/>
    <x v="0"/>
    <x v="1"/>
    <n v="199"/>
    <x v="4"/>
    <n v="55"/>
    <x v="0"/>
    <x v="1"/>
    <n v="13"/>
    <x v="0"/>
    <x v="2"/>
    <n v="199"/>
    <x v="1"/>
    <x v="3"/>
  </r>
  <r>
    <x v="541"/>
    <x v="439"/>
    <n v="2024"/>
    <s v="May"/>
    <x v="2"/>
    <x v="2"/>
    <n v="20"/>
    <x v="0"/>
    <x v="0"/>
    <n v="499"/>
    <x v="7"/>
    <n v="59"/>
    <x v="3"/>
    <x v="1"/>
    <n v="23"/>
    <x v="0"/>
    <x v="1"/>
    <n v="499"/>
    <x v="1"/>
    <x v="3"/>
  </r>
  <r>
    <x v="542"/>
    <x v="375"/>
    <n v="2023"/>
    <s v="Jun"/>
    <x v="2"/>
    <x v="1"/>
    <n v="51"/>
    <x v="0"/>
    <x v="0"/>
    <n v="499"/>
    <x v="6"/>
    <n v="39"/>
    <x v="1"/>
    <x v="0"/>
    <n v="36"/>
    <x v="0"/>
    <x v="0"/>
    <n v="499"/>
    <x v="0"/>
    <x v="1"/>
  </r>
  <r>
    <x v="543"/>
    <x v="440"/>
    <n v="2024"/>
    <s v="Feb"/>
    <x v="0"/>
    <x v="2"/>
    <n v="37"/>
    <x v="0"/>
    <x v="0"/>
    <n v="499"/>
    <x v="5"/>
    <n v="27"/>
    <x v="1"/>
    <x v="3"/>
    <n v="21"/>
    <x v="0"/>
    <x v="1"/>
    <n v="499"/>
    <x v="3"/>
    <x v="0"/>
  </r>
  <r>
    <x v="544"/>
    <x v="441"/>
    <n v="2022"/>
    <s v="Aug"/>
    <x v="3"/>
    <x v="2"/>
    <n v="25"/>
    <x v="0"/>
    <x v="1"/>
    <n v="199"/>
    <x v="0"/>
    <n v="43"/>
    <x v="3"/>
    <x v="2"/>
    <n v="9"/>
    <x v="0"/>
    <x v="2"/>
    <n v="199"/>
    <x v="2"/>
    <x v="1"/>
  </r>
  <r>
    <x v="545"/>
    <x v="114"/>
    <n v="2023"/>
    <s v="Sep"/>
    <x v="0"/>
    <x v="1"/>
    <n v="54"/>
    <x v="1"/>
    <x v="0"/>
    <n v="499"/>
    <x v="3"/>
    <n v="51"/>
    <x v="1"/>
    <x v="2"/>
    <n v="4"/>
    <x v="1"/>
    <x v="0"/>
    <n v="0"/>
    <x v="0"/>
    <x v="3"/>
  </r>
  <r>
    <x v="546"/>
    <x v="442"/>
    <n v="2024"/>
    <s v="May"/>
    <x v="2"/>
    <x v="2"/>
    <n v="48"/>
    <x v="1"/>
    <x v="1"/>
    <n v="199"/>
    <x v="6"/>
    <n v="29"/>
    <x v="1"/>
    <x v="1"/>
    <n v="16"/>
    <x v="0"/>
    <x v="0"/>
    <n v="199"/>
    <x v="0"/>
    <x v="0"/>
  </r>
  <r>
    <x v="547"/>
    <x v="443"/>
    <n v="2022"/>
    <s v="Nov"/>
    <x v="1"/>
    <x v="2"/>
    <n v="44"/>
    <x v="1"/>
    <x v="0"/>
    <n v="499"/>
    <x v="0"/>
    <n v="49"/>
    <x v="3"/>
    <x v="2"/>
    <n v="46"/>
    <x v="0"/>
    <x v="1"/>
    <n v="499"/>
    <x v="3"/>
    <x v="1"/>
  </r>
  <r>
    <x v="548"/>
    <x v="444"/>
    <n v="2025"/>
    <s v="Dec"/>
    <x v="1"/>
    <x v="2"/>
    <n v="29"/>
    <x v="1"/>
    <x v="0"/>
    <n v="499"/>
    <x v="5"/>
    <n v="43"/>
    <x v="3"/>
    <x v="1"/>
    <n v="33"/>
    <x v="0"/>
    <x v="1"/>
    <n v="499"/>
    <x v="2"/>
    <x v="1"/>
  </r>
  <r>
    <x v="549"/>
    <x v="445"/>
    <n v="2025"/>
    <s v="Nov"/>
    <x v="0"/>
    <x v="0"/>
    <n v="42"/>
    <x v="0"/>
    <x v="1"/>
    <n v="199"/>
    <x v="1"/>
    <n v="56"/>
    <x v="1"/>
    <x v="2"/>
    <n v="40"/>
    <x v="0"/>
    <x v="0"/>
    <n v="199"/>
    <x v="3"/>
    <x v="3"/>
  </r>
  <r>
    <x v="550"/>
    <x v="255"/>
    <n v="2025"/>
    <s v="Sep"/>
    <x v="0"/>
    <x v="1"/>
    <n v="26"/>
    <x v="0"/>
    <x v="1"/>
    <n v="199"/>
    <x v="2"/>
    <n v="44"/>
    <x v="1"/>
    <x v="0"/>
    <n v="14"/>
    <x v="0"/>
    <x v="2"/>
    <n v="199"/>
    <x v="2"/>
    <x v="1"/>
  </r>
  <r>
    <x v="551"/>
    <x v="446"/>
    <n v="2025"/>
    <s v="Sep"/>
    <x v="3"/>
    <x v="1"/>
    <n v="49"/>
    <x v="0"/>
    <x v="1"/>
    <n v="199"/>
    <x v="0"/>
    <n v="45"/>
    <x v="0"/>
    <x v="1"/>
    <n v="47"/>
    <x v="0"/>
    <x v="2"/>
    <n v="199"/>
    <x v="0"/>
    <x v="1"/>
  </r>
  <r>
    <x v="552"/>
    <x v="447"/>
    <n v="2025"/>
    <s v="Dec"/>
    <x v="1"/>
    <x v="0"/>
    <n v="44"/>
    <x v="0"/>
    <x v="2"/>
    <n v="649"/>
    <x v="8"/>
    <n v="35"/>
    <x v="2"/>
    <x v="2"/>
    <n v="45"/>
    <x v="0"/>
    <x v="2"/>
    <n v="649"/>
    <x v="3"/>
    <x v="0"/>
  </r>
  <r>
    <x v="553"/>
    <x v="448"/>
    <n v="2022"/>
    <s v="Dec"/>
    <x v="0"/>
    <x v="1"/>
    <n v="47"/>
    <x v="0"/>
    <x v="2"/>
    <n v="649"/>
    <x v="2"/>
    <n v="42"/>
    <x v="1"/>
    <x v="3"/>
    <n v="11"/>
    <x v="0"/>
    <x v="0"/>
    <n v="649"/>
    <x v="0"/>
    <x v="1"/>
  </r>
  <r>
    <x v="554"/>
    <x v="449"/>
    <n v="2022"/>
    <s v="Jul"/>
    <x v="1"/>
    <x v="0"/>
    <n v="21"/>
    <x v="1"/>
    <x v="2"/>
    <n v="649"/>
    <x v="7"/>
    <n v="40"/>
    <x v="3"/>
    <x v="1"/>
    <n v="31"/>
    <x v="0"/>
    <x v="2"/>
    <n v="649"/>
    <x v="1"/>
    <x v="1"/>
  </r>
  <r>
    <x v="555"/>
    <x v="450"/>
    <n v="2023"/>
    <s v="Jun"/>
    <x v="3"/>
    <x v="2"/>
    <n v="19"/>
    <x v="0"/>
    <x v="0"/>
    <n v="499"/>
    <x v="1"/>
    <n v="30"/>
    <x v="0"/>
    <x v="0"/>
    <n v="46"/>
    <x v="0"/>
    <x v="2"/>
    <n v="499"/>
    <x v="1"/>
    <x v="0"/>
  </r>
  <r>
    <x v="556"/>
    <x v="81"/>
    <n v="2025"/>
    <s v="Sep"/>
    <x v="2"/>
    <x v="2"/>
    <n v="32"/>
    <x v="1"/>
    <x v="1"/>
    <n v="199"/>
    <x v="1"/>
    <n v="58"/>
    <x v="2"/>
    <x v="3"/>
    <n v="40"/>
    <x v="0"/>
    <x v="1"/>
    <n v="199"/>
    <x v="2"/>
    <x v="3"/>
  </r>
  <r>
    <x v="557"/>
    <x v="451"/>
    <n v="2022"/>
    <s v="Nov"/>
    <x v="1"/>
    <x v="2"/>
    <n v="30"/>
    <x v="1"/>
    <x v="1"/>
    <n v="199"/>
    <x v="4"/>
    <n v="43"/>
    <x v="0"/>
    <x v="1"/>
    <n v="12"/>
    <x v="0"/>
    <x v="1"/>
    <n v="199"/>
    <x v="2"/>
    <x v="1"/>
  </r>
  <r>
    <x v="558"/>
    <x v="452"/>
    <n v="2022"/>
    <s v="Feb"/>
    <x v="1"/>
    <x v="0"/>
    <n v="48"/>
    <x v="0"/>
    <x v="1"/>
    <n v="199"/>
    <x v="5"/>
    <n v="27"/>
    <x v="2"/>
    <x v="1"/>
    <n v="16"/>
    <x v="0"/>
    <x v="0"/>
    <n v="199"/>
    <x v="0"/>
    <x v="0"/>
  </r>
  <r>
    <x v="559"/>
    <x v="426"/>
    <n v="2023"/>
    <s v="May"/>
    <x v="0"/>
    <x v="0"/>
    <n v="47"/>
    <x v="1"/>
    <x v="2"/>
    <n v="649"/>
    <x v="3"/>
    <n v="29"/>
    <x v="3"/>
    <x v="0"/>
    <n v="44"/>
    <x v="0"/>
    <x v="1"/>
    <n v="649"/>
    <x v="0"/>
    <x v="0"/>
  </r>
  <r>
    <x v="560"/>
    <x v="453"/>
    <n v="2023"/>
    <s v="May"/>
    <x v="0"/>
    <x v="2"/>
    <n v="23"/>
    <x v="0"/>
    <x v="1"/>
    <n v="199"/>
    <x v="4"/>
    <n v="50"/>
    <x v="3"/>
    <x v="3"/>
    <n v="31"/>
    <x v="0"/>
    <x v="0"/>
    <n v="199"/>
    <x v="1"/>
    <x v="1"/>
  </r>
  <r>
    <x v="561"/>
    <x v="329"/>
    <n v="2023"/>
    <s v="Apr"/>
    <x v="2"/>
    <x v="2"/>
    <n v="31"/>
    <x v="1"/>
    <x v="2"/>
    <n v="649"/>
    <x v="8"/>
    <n v="35"/>
    <x v="1"/>
    <x v="0"/>
    <n v="14"/>
    <x v="0"/>
    <x v="0"/>
    <n v="649"/>
    <x v="2"/>
    <x v="0"/>
  </r>
  <r>
    <x v="562"/>
    <x v="454"/>
    <n v="2024"/>
    <s v="Sep"/>
    <x v="0"/>
    <x v="2"/>
    <n v="24"/>
    <x v="0"/>
    <x v="2"/>
    <n v="649"/>
    <x v="3"/>
    <n v="25"/>
    <x v="1"/>
    <x v="2"/>
    <n v="46"/>
    <x v="0"/>
    <x v="2"/>
    <n v="649"/>
    <x v="1"/>
    <x v="0"/>
  </r>
  <r>
    <x v="563"/>
    <x v="455"/>
    <n v="2022"/>
    <s v="Oct"/>
    <x v="0"/>
    <x v="2"/>
    <n v="44"/>
    <x v="1"/>
    <x v="2"/>
    <n v="649"/>
    <x v="0"/>
    <n v="54"/>
    <x v="3"/>
    <x v="0"/>
    <n v="24"/>
    <x v="0"/>
    <x v="2"/>
    <n v="649"/>
    <x v="3"/>
    <x v="3"/>
  </r>
  <r>
    <x v="564"/>
    <x v="382"/>
    <n v="2025"/>
    <s v="Sep"/>
    <x v="1"/>
    <x v="0"/>
    <n v="36"/>
    <x v="0"/>
    <x v="2"/>
    <n v="649"/>
    <x v="7"/>
    <n v="48"/>
    <x v="3"/>
    <x v="3"/>
    <n v="37"/>
    <x v="0"/>
    <x v="1"/>
    <n v="649"/>
    <x v="3"/>
    <x v="1"/>
  </r>
  <r>
    <x v="565"/>
    <x v="456"/>
    <n v="2023"/>
    <s v="Feb"/>
    <x v="0"/>
    <x v="2"/>
    <n v="27"/>
    <x v="1"/>
    <x v="0"/>
    <n v="499"/>
    <x v="2"/>
    <n v="44"/>
    <x v="2"/>
    <x v="0"/>
    <n v="16"/>
    <x v="0"/>
    <x v="1"/>
    <n v="499"/>
    <x v="2"/>
    <x v="1"/>
  </r>
  <r>
    <x v="566"/>
    <x v="222"/>
    <n v="2024"/>
    <s v="Dec"/>
    <x v="0"/>
    <x v="0"/>
    <n v="48"/>
    <x v="1"/>
    <x v="0"/>
    <n v="499"/>
    <x v="5"/>
    <n v="26"/>
    <x v="3"/>
    <x v="1"/>
    <n v="27"/>
    <x v="0"/>
    <x v="2"/>
    <n v="499"/>
    <x v="0"/>
    <x v="0"/>
  </r>
  <r>
    <x v="567"/>
    <x v="351"/>
    <n v="2023"/>
    <s v="Mar"/>
    <x v="0"/>
    <x v="1"/>
    <n v="45"/>
    <x v="0"/>
    <x v="1"/>
    <n v="199"/>
    <x v="7"/>
    <n v="28"/>
    <x v="1"/>
    <x v="0"/>
    <n v="20"/>
    <x v="0"/>
    <x v="2"/>
    <n v="199"/>
    <x v="0"/>
    <x v="0"/>
  </r>
  <r>
    <x v="568"/>
    <x v="339"/>
    <n v="2022"/>
    <s v="Jan"/>
    <x v="2"/>
    <x v="1"/>
    <n v="39"/>
    <x v="0"/>
    <x v="2"/>
    <n v="649"/>
    <x v="7"/>
    <n v="48"/>
    <x v="0"/>
    <x v="0"/>
    <n v="25"/>
    <x v="0"/>
    <x v="1"/>
    <n v="649"/>
    <x v="3"/>
    <x v="1"/>
  </r>
  <r>
    <x v="569"/>
    <x v="457"/>
    <n v="2023"/>
    <s v="Aug"/>
    <x v="3"/>
    <x v="2"/>
    <n v="25"/>
    <x v="0"/>
    <x v="2"/>
    <n v="649"/>
    <x v="3"/>
    <n v="20"/>
    <x v="2"/>
    <x v="0"/>
    <n v="19"/>
    <x v="0"/>
    <x v="2"/>
    <n v="649"/>
    <x v="2"/>
    <x v="2"/>
  </r>
  <r>
    <x v="570"/>
    <x v="458"/>
    <n v="2023"/>
    <s v="Apr"/>
    <x v="0"/>
    <x v="0"/>
    <n v="40"/>
    <x v="1"/>
    <x v="0"/>
    <n v="499"/>
    <x v="4"/>
    <n v="36"/>
    <x v="0"/>
    <x v="0"/>
    <n v="11"/>
    <x v="1"/>
    <x v="0"/>
    <n v="0"/>
    <x v="3"/>
    <x v="1"/>
  </r>
  <r>
    <x v="571"/>
    <x v="371"/>
    <n v="2023"/>
    <s v="Aug"/>
    <x v="3"/>
    <x v="0"/>
    <n v="34"/>
    <x v="0"/>
    <x v="2"/>
    <n v="649"/>
    <x v="4"/>
    <n v="33"/>
    <x v="3"/>
    <x v="3"/>
    <n v="5"/>
    <x v="0"/>
    <x v="0"/>
    <n v="649"/>
    <x v="2"/>
    <x v="0"/>
  </r>
  <r>
    <x v="572"/>
    <x v="113"/>
    <n v="2022"/>
    <s v="Feb"/>
    <x v="2"/>
    <x v="1"/>
    <n v="51"/>
    <x v="0"/>
    <x v="1"/>
    <n v="199"/>
    <x v="8"/>
    <n v="55"/>
    <x v="0"/>
    <x v="2"/>
    <n v="1"/>
    <x v="0"/>
    <x v="0"/>
    <n v="199"/>
    <x v="0"/>
    <x v="3"/>
  </r>
  <r>
    <x v="573"/>
    <x v="459"/>
    <n v="2025"/>
    <s v="Jun"/>
    <x v="1"/>
    <x v="0"/>
    <n v="48"/>
    <x v="0"/>
    <x v="0"/>
    <n v="499"/>
    <x v="0"/>
    <n v="20"/>
    <x v="3"/>
    <x v="0"/>
    <n v="36"/>
    <x v="0"/>
    <x v="1"/>
    <n v="499"/>
    <x v="0"/>
    <x v="2"/>
  </r>
  <r>
    <x v="574"/>
    <x v="460"/>
    <n v="2024"/>
    <s v="Dec"/>
    <x v="3"/>
    <x v="0"/>
    <n v="29"/>
    <x v="1"/>
    <x v="0"/>
    <n v="499"/>
    <x v="1"/>
    <n v="22"/>
    <x v="0"/>
    <x v="1"/>
    <n v="7"/>
    <x v="0"/>
    <x v="0"/>
    <n v="499"/>
    <x v="2"/>
    <x v="0"/>
  </r>
  <r>
    <x v="575"/>
    <x v="461"/>
    <n v="2024"/>
    <s v="Dec"/>
    <x v="0"/>
    <x v="1"/>
    <n v="23"/>
    <x v="1"/>
    <x v="1"/>
    <n v="199"/>
    <x v="3"/>
    <n v="32"/>
    <x v="1"/>
    <x v="1"/>
    <n v="41"/>
    <x v="0"/>
    <x v="1"/>
    <n v="199"/>
    <x v="1"/>
    <x v="0"/>
  </r>
  <r>
    <x v="576"/>
    <x v="143"/>
    <n v="2023"/>
    <s v="Dec"/>
    <x v="1"/>
    <x v="0"/>
    <n v="47"/>
    <x v="0"/>
    <x v="2"/>
    <n v="649"/>
    <x v="1"/>
    <n v="29"/>
    <x v="1"/>
    <x v="1"/>
    <n v="39"/>
    <x v="0"/>
    <x v="1"/>
    <n v="649"/>
    <x v="0"/>
    <x v="0"/>
  </r>
  <r>
    <x v="577"/>
    <x v="462"/>
    <n v="2025"/>
    <s v="Aug"/>
    <x v="0"/>
    <x v="0"/>
    <n v="46"/>
    <x v="0"/>
    <x v="2"/>
    <n v="649"/>
    <x v="3"/>
    <n v="57"/>
    <x v="2"/>
    <x v="2"/>
    <n v="25"/>
    <x v="0"/>
    <x v="1"/>
    <n v="649"/>
    <x v="0"/>
    <x v="3"/>
  </r>
  <r>
    <x v="578"/>
    <x v="463"/>
    <n v="2023"/>
    <s v="Sep"/>
    <x v="2"/>
    <x v="0"/>
    <n v="18"/>
    <x v="0"/>
    <x v="2"/>
    <n v="649"/>
    <x v="4"/>
    <n v="43"/>
    <x v="0"/>
    <x v="2"/>
    <n v="10"/>
    <x v="0"/>
    <x v="2"/>
    <n v="649"/>
    <x v="1"/>
    <x v="1"/>
  </r>
  <r>
    <x v="579"/>
    <x v="406"/>
    <n v="2024"/>
    <s v="Oct"/>
    <x v="1"/>
    <x v="2"/>
    <n v="39"/>
    <x v="1"/>
    <x v="1"/>
    <n v="199"/>
    <x v="6"/>
    <n v="56"/>
    <x v="1"/>
    <x v="3"/>
    <n v="41"/>
    <x v="0"/>
    <x v="1"/>
    <n v="199"/>
    <x v="3"/>
    <x v="3"/>
  </r>
  <r>
    <x v="580"/>
    <x v="394"/>
    <n v="2024"/>
    <s v="Jan"/>
    <x v="3"/>
    <x v="1"/>
    <n v="43"/>
    <x v="1"/>
    <x v="2"/>
    <n v="649"/>
    <x v="6"/>
    <n v="54"/>
    <x v="1"/>
    <x v="3"/>
    <n v="47"/>
    <x v="0"/>
    <x v="0"/>
    <n v="649"/>
    <x v="3"/>
    <x v="3"/>
  </r>
  <r>
    <x v="581"/>
    <x v="464"/>
    <n v="2024"/>
    <s v="Apr"/>
    <x v="1"/>
    <x v="2"/>
    <n v="36"/>
    <x v="1"/>
    <x v="0"/>
    <n v="499"/>
    <x v="7"/>
    <n v="28"/>
    <x v="3"/>
    <x v="1"/>
    <n v="20"/>
    <x v="0"/>
    <x v="1"/>
    <n v="499"/>
    <x v="3"/>
    <x v="0"/>
  </r>
  <r>
    <x v="582"/>
    <x v="465"/>
    <n v="2022"/>
    <s v="Jun"/>
    <x v="3"/>
    <x v="0"/>
    <n v="39"/>
    <x v="1"/>
    <x v="1"/>
    <n v="199"/>
    <x v="8"/>
    <n v="56"/>
    <x v="3"/>
    <x v="1"/>
    <n v="19"/>
    <x v="0"/>
    <x v="1"/>
    <n v="199"/>
    <x v="3"/>
    <x v="3"/>
  </r>
  <r>
    <x v="583"/>
    <x v="466"/>
    <n v="2023"/>
    <s v="Jun"/>
    <x v="2"/>
    <x v="2"/>
    <n v="31"/>
    <x v="1"/>
    <x v="1"/>
    <n v="199"/>
    <x v="0"/>
    <n v="23"/>
    <x v="0"/>
    <x v="1"/>
    <n v="5"/>
    <x v="0"/>
    <x v="1"/>
    <n v="199"/>
    <x v="2"/>
    <x v="0"/>
  </r>
  <r>
    <x v="584"/>
    <x v="364"/>
    <n v="2025"/>
    <s v="Sep"/>
    <x v="1"/>
    <x v="1"/>
    <n v="21"/>
    <x v="0"/>
    <x v="2"/>
    <n v="649"/>
    <x v="2"/>
    <n v="52"/>
    <x v="3"/>
    <x v="3"/>
    <n v="14"/>
    <x v="0"/>
    <x v="2"/>
    <n v="649"/>
    <x v="1"/>
    <x v="3"/>
  </r>
  <r>
    <x v="585"/>
    <x v="467"/>
    <n v="2023"/>
    <s v="Aug"/>
    <x v="2"/>
    <x v="1"/>
    <n v="47"/>
    <x v="0"/>
    <x v="1"/>
    <n v="199"/>
    <x v="3"/>
    <n v="38"/>
    <x v="1"/>
    <x v="2"/>
    <n v="40"/>
    <x v="0"/>
    <x v="2"/>
    <n v="199"/>
    <x v="0"/>
    <x v="1"/>
  </r>
  <r>
    <x v="586"/>
    <x v="468"/>
    <n v="2025"/>
    <s v="Jan"/>
    <x v="2"/>
    <x v="1"/>
    <n v="35"/>
    <x v="0"/>
    <x v="0"/>
    <n v="499"/>
    <x v="1"/>
    <n v="48"/>
    <x v="3"/>
    <x v="3"/>
    <n v="44"/>
    <x v="0"/>
    <x v="0"/>
    <n v="499"/>
    <x v="3"/>
    <x v="1"/>
  </r>
  <r>
    <x v="587"/>
    <x v="469"/>
    <n v="2022"/>
    <s v="Sep"/>
    <x v="1"/>
    <x v="0"/>
    <n v="28"/>
    <x v="1"/>
    <x v="1"/>
    <n v="199"/>
    <x v="4"/>
    <n v="34"/>
    <x v="3"/>
    <x v="1"/>
    <n v="6"/>
    <x v="0"/>
    <x v="1"/>
    <n v="199"/>
    <x v="2"/>
    <x v="0"/>
  </r>
  <r>
    <x v="588"/>
    <x v="470"/>
    <n v="2023"/>
    <s v="May"/>
    <x v="1"/>
    <x v="2"/>
    <n v="32"/>
    <x v="1"/>
    <x v="2"/>
    <n v="649"/>
    <x v="4"/>
    <n v="59"/>
    <x v="2"/>
    <x v="1"/>
    <n v="24"/>
    <x v="0"/>
    <x v="0"/>
    <n v="649"/>
    <x v="2"/>
    <x v="3"/>
  </r>
  <r>
    <x v="589"/>
    <x v="471"/>
    <n v="2023"/>
    <s v="Dec"/>
    <x v="2"/>
    <x v="2"/>
    <n v="51"/>
    <x v="0"/>
    <x v="0"/>
    <n v="499"/>
    <x v="5"/>
    <n v="36"/>
    <x v="2"/>
    <x v="2"/>
    <n v="36"/>
    <x v="0"/>
    <x v="1"/>
    <n v="499"/>
    <x v="0"/>
    <x v="1"/>
  </r>
  <r>
    <x v="590"/>
    <x v="472"/>
    <n v="2023"/>
    <s v="Aug"/>
    <x v="2"/>
    <x v="0"/>
    <n v="22"/>
    <x v="0"/>
    <x v="1"/>
    <n v="199"/>
    <x v="5"/>
    <n v="35"/>
    <x v="3"/>
    <x v="2"/>
    <n v="21"/>
    <x v="1"/>
    <x v="1"/>
    <n v="0"/>
    <x v="1"/>
    <x v="0"/>
  </r>
  <r>
    <x v="591"/>
    <x v="473"/>
    <n v="2024"/>
    <s v="Nov"/>
    <x v="1"/>
    <x v="2"/>
    <n v="51"/>
    <x v="1"/>
    <x v="0"/>
    <n v="499"/>
    <x v="4"/>
    <n v="27"/>
    <x v="0"/>
    <x v="1"/>
    <n v="23"/>
    <x v="1"/>
    <x v="1"/>
    <n v="0"/>
    <x v="0"/>
    <x v="0"/>
  </r>
  <r>
    <x v="592"/>
    <x v="107"/>
    <n v="2023"/>
    <s v="Feb"/>
    <x v="2"/>
    <x v="0"/>
    <n v="21"/>
    <x v="1"/>
    <x v="0"/>
    <n v="499"/>
    <x v="2"/>
    <n v="54"/>
    <x v="1"/>
    <x v="3"/>
    <n v="26"/>
    <x v="0"/>
    <x v="2"/>
    <n v="499"/>
    <x v="1"/>
    <x v="3"/>
  </r>
  <r>
    <x v="593"/>
    <x v="328"/>
    <n v="2022"/>
    <s v="May"/>
    <x v="3"/>
    <x v="1"/>
    <n v="37"/>
    <x v="1"/>
    <x v="1"/>
    <n v="199"/>
    <x v="0"/>
    <n v="21"/>
    <x v="2"/>
    <x v="1"/>
    <n v="36"/>
    <x v="0"/>
    <x v="1"/>
    <n v="199"/>
    <x v="3"/>
    <x v="0"/>
  </r>
  <r>
    <x v="594"/>
    <x v="474"/>
    <n v="2025"/>
    <s v="Jan"/>
    <x v="0"/>
    <x v="1"/>
    <n v="54"/>
    <x v="1"/>
    <x v="2"/>
    <n v="649"/>
    <x v="0"/>
    <n v="38"/>
    <x v="0"/>
    <x v="3"/>
    <n v="45"/>
    <x v="0"/>
    <x v="0"/>
    <n v="649"/>
    <x v="0"/>
    <x v="1"/>
  </r>
  <r>
    <x v="595"/>
    <x v="475"/>
    <n v="2025"/>
    <s v="Jan"/>
    <x v="0"/>
    <x v="0"/>
    <n v="43"/>
    <x v="1"/>
    <x v="0"/>
    <n v="499"/>
    <x v="8"/>
    <n v="53"/>
    <x v="0"/>
    <x v="2"/>
    <n v="27"/>
    <x v="0"/>
    <x v="0"/>
    <n v="499"/>
    <x v="3"/>
    <x v="3"/>
  </r>
  <r>
    <x v="596"/>
    <x v="476"/>
    <n v="2024"/>
    <s v="Jul"/>
    <x v="3"/>
    <x v="2"/>
    <n v="30"/>
    <x v="1"/>
    <x v="0"/>
    <n v="499"/>
    <x v="2"/>
    <n v="40"/>
    <x v="0"/>
    <x v="0"/>
    <n v="48"/>
    <x v="0"/>
    <x v="1"/>
    <n v="499"/>
    <x v="2"/>
    <x v="1"/>
  </r>
  <r>
    <x v="597"/>
    <x v="477"/>
    <n v="2024"/>
    <s v="Dec"/>
    <x v="1"/>
    <x v="2"/>
    <n v="52"/>
    <x v="1"/>
    <x v="0"/>
    <n v="499"/>
    <x v="0"/>
    <n v="35"/>
    <x v="1"/>
    <x v="3"/>
    <n v="35"/>
    <x v="0"/>
    <x v="0"/>
    <n v="499"/>
    <x v="0"/>
    <x v="0"/>
  </r>
  <r>
    <x v="598"/>
    <x v="478"/>
    <n v="2024"/>
    <s v="Mar"/>
    <x v="2"/>
    <x v="0"/>
    <n v="44"/>
    <x v="1"/>
    <x v="1"/>
    <n v="199"/>
    <x v="4"/>
    <n v="49"/>
    <x v="1"/>
    <x v="2"/>
    <n v="8"/>
    <x v="0"/>
    <x v="2"/>
    <n v="199"/>
    <x v="3"/>
    <x v="1"/>
  </r>
  <r>
    <x v="599"/>
    <x v="479"/>
    <n v="2022"/>
    <s v="Sep"/>
    <x v="1"/>
    <x v="2"/>
    <n v="37"/>
    <x v="1"/>
    <x v="1"/>
    <n v="199"/>
    <x v="5"/>
    <n v="54"/>
    <x v="3"/>
    <x v="0"/>
    <n v="4"/>
    <x v="0"/>
    <x v="2"/>
    <n v="199"/>
    <x v="3"/>
    <x v="3"/>
  </r>
  <r>
    <x v="600"/>
    <x v="480"/>
    <m/>
    <m/>
    <x v="4"/>
    <x v="3"/>
    <m/>
    <x v="2"/>
    <x v="3"/>
    <m/>
    <x v="9"/>
    <m/>
    <x v="4"/>
    <x v="4"/>
    <m/>
    <x v="2"/>
    <x v="4"/>
    <m/>
    <x v="5"/>
    <x v="4"/>
  </r>
  <r>
    <x v="600"/>
    <x v="480"/>
    <m/>
    <m/>
    <x v="4"/>
    <x v="3"/>
    <m/>
    <x v="2"/>
    <x v="3"/>
    <m/>
    <x v="9"/>
    <m/>
    <x v="4"/>
    <x v="4"/>
    <m/>
    <x v="2"/>
    <x v="4"/>
    <m/>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8C9E1F-DB92-4B16-AE33-55612F35E43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5"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axis="axisRow"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pivotField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x="0"/>
        <item x="3"/>
        <item x="4"/>
        <item x="2"/>
        <item x="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h="1" sd="0" x="0"/>
        <item sd="0" x="1"/>
        <item sd="0" x="2"/>
        <item sd="0" x="3"/>
        <item sd="0" x="4"/>
        <item sd="0" x="5"/>
        <item sd="0" x="6"/>
        <item t="default"/>
      </items>
    </pivotField>
  </pivotFields>
  <rowFields count="3">
    <field x="22"/>
    <field x="21"/>
    <field x="1"/>
  </rowFields>
  <rowItems count="5">
    <i>
      <x v="1"/>
    </i>
    <i>
      <x v="2"/>
    </i>
    <i>
      <x v="3"/>
    </i>
    <i>
      <x v="4"/>
    </i>
    <i t="grand">
      <x/>
    </i>
  </rowItems>
  <colItems count="1">
    <i/>
  </colItems>
  <dataFields count="1">
    <dataField name="Count of Customer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9E9BB-D51B-4CAB-9AE5-28461268842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25"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axis="axisRow" showAll="0">
      <items count="6">
        <item x="1"/>
        <item x="2"/>
        <item x="3"/>
        <item x="0"/>
        <item x="4"/>
        <item t="default"/>
      </items>
    </pivotField>
    <pivotField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x="0"/>
        <item x="3"/>
        <item x="4"/>
        <item x="2"/>
        <item x="5"/>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4"/>
  </rowFields>
  <rowItems count="5">
    <i>
      <x/>
    </i>
    <i>
      <x v="1"/>
    </i>
    <i>
      <x v="2"/>
    </i>
    <i>
      <x v="3"/>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0BAC41-C521-4C9A-8F6E-662BE09B15E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B17"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pivotField showAll="0">
      <items count="5">
        <item h="1" x="2"/>
        <item x="1"/>
        <item h="1" x="0"/>
        <item h="1" x="3"/>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items count="7">
        <item x="1"/>
        <item x="0"/>
        <item x="3"/>
        <item x="4"/>
        <item x="2"/>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5"/>
    <field x="7"/>
  </rowFields>
  <rowItems count="7">
    <i>
      <x/>
    </i>
    <i r="1">
      <x/>
    </i>
    <i r="1">
      <x v="1"/>
    </i>
    <i>
      <x v="1"/>
    </i>
    <i r="1">
      <x/>
    </i>
    <i r="1">
      <x v="1"/>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69521D-066E-45EB-94B5-F2A647FB6A0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0:H25"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items count="6">
        <item x="1"/>
        <item x="2"/>
        <item x="3"/>
        <item x="0"/>
        <item x="4"/>
        <item t="default"/>
      </items>
    </pivotField>
    <pivotField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1"/>
        <item x="2"/>
        <item x="0"/>
        <item h="1" x="4"/>
        <item t="default"/>
      </items>
    </pivotField>
    <pivotField showAll="0"/>
    <pivotField showAll="0">
      <items count="7">
        <item x="1"/>
        <item x="0"/>
        <item x="3"/>
        <item x="4"/>
        <item x="2"/>
        <item x="5"/>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16"/>
  </rowFields>
  <rowItems count="5">
    <i>
      <x/>
    </i>
    <i>
      <x v="1"/>
    </i>
    <i>
      <x v="2"/>
    </i>
    <i>
      <x v="3"/>
    </i>
    <i t="grand">
      <x/>
    </i>
  </rowItems>
  <colItems count="1">
    <i/>
  </colItems>
  <dataFields count="1">
    <dataField name="Count of Customer_ID" fld="0" subtotal="count" baseField="0" baseItem="0"/>
  </dataFields>
  <chartFormats count="2">
    <chartFormat chart="3" format="1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D698DF-29C7-4A9E-B187-12C4869490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8"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pivotField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x="0"/>
        <item x="3"/>
        <item x="4"/>
        <item x="2"/>
        <item x="5"/>
        <item t="default"/>
      </items>
    </pivotField>
    <pivotField axis="axisRow" showAll="0">
      <items count="6">
        <item x="3"/>
        <item x="2"/>
        <item x="1"/>
        <item x="0"/>
        <item h="1"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9"/>
  </rowFields>
  <rowItems count="5">
    <i>
      <x/>
    </i>
    <i>
      <x v="1"/>
    </i>
    <i>
      <x v="2"/>
    </i>
    <i>
      <x v="3"/>
    </i>
    <i t="grand">
      <x/>
    </i>
  </rowItems>
  <colItems count="1">
    <i/>
  </colItems>
  <dataFields count="1">
    <dataField name="Count of Customer_ID" fld="0"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DCCAC5-58CC-42A7-B15E-325CBDA2A9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8"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pivotField showAll="0">
      <items count="5">
        <item h="1" x="2"/>
        <item x="1"/>
        <item h="1" x="0"/>
        <item h="1" x="3"/>
        <item t="default"/>
      </items>
    </pivotField>
    <pivotField showAll="0"/>
    <pivotField showAll="0"/>
    <pivotField showAll="0"/>
    <pivotField showAll="0"/>
    <pivotField showAll="0"/>
    <pivotField showAll="0"/>
    <pivotField showAll="0"/>
    <pivotField axis="axisRow" showAll="0">
      <items count="6">
        <item x="3"/>
        <item x="1"/>
        <item x="2"/>
        <item x="0"/>
        <item h="1" x="4"/>
        <item t="default"/>
      </items>
    </pivotField>
    <pivotField showAll="0"/>
    <pivotField showAll="0"/>
    <pivotField showAll="0"/>
    <pivotField showAll="0"/>
    <pivotField showAll="0">
      <items count="7">
        <item x="1"/>
        <item x="0"/>
        <item x="3"/>
        <item x="4"/>
        <item x="2"/>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5">
    <i>
      <x/>
    </i>
    <i>
      <x v="1"/>
    </i>
    <i>
      <x v="2"/>
    </i>
    <i>
      <x v="3"/>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B6FBC4-166D-4285-A9F1-AEE6F897A1E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F35" firstHeaderRow="1" firstDataRow="2"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axis="axisCol" showAll="0">
      <items count="6">
        <item x="1"/>
        <item x="2"/>
        <item x="3"/>
        <item x="0"/>
        <item x="4"/>
        <item t="default"/>
      </items>
    </pivotField>
    <pivotField showAll="0"/>
    <pivotField showAll="0"/>
    <pivotField showAll="0"/>
    <pivotField showAll="0"/>
    <pivotField showAll="0"/>
    <pivotField showAll="0"/>
    <pivotField showAll="0"/>
    <pivotField axis="axisRow" showAll="0">
      <items count="6">
        <item x="0"/>
        <item x="3"/>
        <item x="2"/>
        <item x="1"/>
        <item h="1" x="4"/>
        <item t="default"/>
      </items>
    </pivotField>
    <pivotField showAll="0"/>
    <pivotField showAll="0"/>
    <pivotField showAll="0"/>
    <pivotField showAll="0"/>
    <pivotField showAll="0"/>
    <pivotField showAll="0">
      <items count="7">
        <item x="1"/>
        <item x="0"/>
        <item x="3"/>
        <item x="4"/>
        <item x="2"/>
        <item x="5"/>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Fields count="1">
    <field x="4"/>
  </colFields>
  <colItems count="5">
    <i>
      <x/>
    </i>
    <i>
      <x v="1"/>
    </i>
    <i>
      <x v="2"/>
    </i>
    <i>
      <x v="3"/>
    </i>
    <i t="grand">
      <x/>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8EA915-8CB4-42B3-A131-91BF05238E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3"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pivotField showAll="0">
      <items count="5">
        <item h="1" x="2"/>
        <item x="1"/>
        <item h="1" x="0"/>
        <item h="1" x="3"/>
        <item t="default"/>
      </items>
    </pivotField>
    <pivotField showAll="0"/>
    <pivotField showAll="0"/>
    <pivotField showAll="0"/>
    <pivotField showAll="0"/>
    <pivotField axis="axisRow" showAll="0">
      <items count="11">
        <item x="6"/>
        <item x="3"/>
        <item x="0"/>
        <item x="2"/>
        <item x="1"/>
        <item x="4"/>
        <item x="8"/>
        <item x="7"/>
        <item x="5"/>
        <item h="1" x="9"/>
        <item t="default"/>
      </items>
    </pivotField>
    <pivotField showAll="0"/>
    <pivotField showAll="0"/>
    <pivotField showAll="0"/>
    <pivotField showAll="0"/>
    <pivotField showAll="0"/>
    <pivotField showAll="0"/>
    <pivotField showAll="0"/>
    <pivotField showAll="0">
      <items count="7">
        <item x="1"/>
        <item x="0"/>
        <item x="3"/>
        <item x="4"/>
        <item x="2"/>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10">
    <i>
      <x/>
    </i>
    <i>
      <x v="1"/>
    </i>
    <i>
      <x v="2"/>
    </i>
    <i>
      <x v="3"/>
    </i>
    <i>
      <x v="4"/>
    </i>
    <i>
      <x v="5"/>
    </i>
    <i>
      <x v="6"/>
    </i>
    <i>
      <x v="7"/>
    </i>
    <i>
      <x v="8"/>
    </i>
    <i t="grand">
      <x/>
    </i>
  </rowItems>
  <colItems count="1">
    <i/>
  </colItems>
  <dataFields count="1">
    <dataField name="Count of Customer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B78162-A362-4BED-B555-1B2D145B65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K17" firstHeaderRow="1" firstDataRow="1" firstDataCol="1"/>
  <pivotFields count="23">
    <pivotField showAll="0"/>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pivotField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7">
        <item x="1"/>
        <item x="0"/>
        <item x="3"/>
        <item x="4"/>
        <item x="2"/>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8"/>
  </rowFields>
  <rowItems count="6">
    <i>
      <x/>
    </i>
    <i>
      <x v="1"/>
    </i>
    <i>
      <x v="2"/>
    </i>
    <i>
      <x v="3"/>
    </i>
    <i>
      <x v="4"/>
    </i>
    <i t="grand">
      <x/>
    </i>
  </rowItems>
  <colItems count="1">
    <i/>
  </colItems>
  <dataFields count="1">
    <dataField name="Sum of Monthly_Revenue_INR"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332BA8-B7A3-4845-8874-7EF15D1E6B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pivotField showAll="0">
      <items count="5">
        <item h="1" x="2"/>
        <item x="1"/>
        <item h="1" x="0"/>
        <item h="1" x="3"/>
        <item t="default"/>
      </items>
    </pivotField>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pivotField showAll="0"/>
    <pivotField showAll="0"/>
    <pivotField showAll="0">
      <items count="7">
        <item x="1"/>
        <item x="0"/>
        <item x="3"/>
        <item x="4"/>
        <item x="2"/>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4">
    <i>
      <x/>
    </i>
    <i>
      <x v="1"/>
    </i>
    <i>
      <x v="2"/>
    </i>
    <i t="grand">
      <x/>
    </i>
  </rowItems>
  <colItems count="1">
    <i/>
  </colItems>
  <dataFields count="1">
    <dataField name="Count of Customer_ID" fld="0"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2"/>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B93E88-F17A-4406-85DF-99CBBBC78FC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1:H17" firstHeaderRow="1" firstDataRow="1" firstDataCol="1"/>
  <pivotFields count="23">
    <pivotField dataField="1"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482">
        <item x="362"/>
        <item x="350"/>
        <item x="339"/>
        <item x="271"/>
        <item x="386"/>
        <item x="192"/>
        <item x="72"/>
        <item x="15"/>
        <item x="124"/>
        <item x="97"/>
        <item x="353"/>
        <item x="176"/>
        <item x="113"/>
        <item x="204"/>
        <item x="452"/>
        <item x="53"/>
        <item x="50"/>
        <item x="317"/>
        <item x="262"/>
        <item x="68"/>
        <item x="223"/>
        <item x="59"/>
        <item x="21"/>
        <item x="142"/>
        <item x="434"/>
        <item x="19"/>
        <item x="61"/>
        <item x="341"/>
        <item x="234"/>
        <item x="77"/>
        <item x="137"/>
        <item x="400"/>
        <item x="201"/>
        <item x="254"/>
        <item x="172"/>
        <item x="57"/>
        <item x="424"/>
        <item x="321"/>
        <item x="269"/>
        <item x="352"/>
        <item x="328"/>
        <item x="20"/>
        <item x="415"/>
        <item x="43"/>
        <item x="122"/>
        <item x="310"/>
        <item x="45"/>
        <item x="206"/>
        <item x="65"/>
        <item x="56"/>
        <item x="465"/>
        <item x="398"/>
        <item x="118"/>
        <item x="135"/>
        <item x="273"/>
        <item x="449"/>
        <item x="320"/>
        <item x="330"/>
        <item x="299"/>
        <item x="308"/>
        <item x="78"/>
        <item x="383"/>
        <item x="25"/>
        <item x="197"/>
        <item x="441"/>
        <item x="117"/>
        <item x="76"/>
        <item x="67"/>
        <item x="226"/>
        <item x="189"/>
        <item x="290"/>
        <item x="348"/>
        <item x="281"/>
        <item x="18"/>
        <item x="469"/>
        <item x="479"/>
        <item x="268"/>
        <item x="86"/>
        <item x="225"/>
        <item x="306"/>
        <item x="253"/>
        <item x="280"/>
        <item x="157"/>
        <item x="108"/>
        <item x="148"/>
        <item x="425"/>
        <item x="455"/>
        <item x="392"/>
        <item x="261"/>
        <item x="152"/>
        <item x="305"/>
        <item x="134"/>
        <item x="195"/>
        <item x="27"/>
        <item x="251"/>
        <item x="265"/>
        <item x="272"/>
        <item x="198"/>
        <item x="443"/>
        <item x="110"/>
        <item x="17"/>
        <item x="247"/>
        <item x="374"/>
        <item x="276"/>
        <item x="423"/>
        <item x="138"/>
        <item x="418"/>
        <item x="217"/>
        <item x="451"/>
        <item x="243"/>
        <item x="421"/>
        <item x="274"/>
        <item x="188"/>
        <item x="368"/>
        <item x="178"/>
        <item x="51"/>
        <item x="126"/>
        <item x="448"/>
        <item x="80"/>
        <item x="369"/>
        <item x="93"/>
        <item x="193"/>
        <item x="416"/>
        <item x="10"/>
        <item x="44"/>
        <item x="267"/>
        <item x="74"/>
        <item x="171"/>
        <item x="312"/>
        <item x="427"/>
        <item x="231"/>
        <item x="107"/>
        <item x="456"/>
        <item x="166"/>
        <item x="405"/>
        <item x="351"/>
        <item x="373"/>
        <item x="174"/>
        <item x="228"/>
        <item x="179"/>
        <item x="420"/>
        <item x="334"/>
        <item x="409"/>
        <item x="260"/>
        <item x="279"/>
        <item x="153"/>
        <item x="343"/>
        <item x="169"/>
        <item x="203"/>
        <item x="26"/>
        <item x="326"/>
        <item x="458"/>
        <item x="177"/>
        <item x="390"/>
        <item x="329"/>
        <item x="29"/>
        <item x="160"/>
        <item x="384"/>
        <item x="167"/>
        <item x="426"/>
        <item x="367"/>
        <item x="395"/>
        <item x="180"/>
        <item x="470"/>
        <item x="154"/>
        <item x="453"/>
        <item x="163"/>
        <item x="47"/>
        <item x="307"/>
        <item x="375"/>
        <item x="264"/>
        <item x="212"/>
        <item x="332"/>
        <item x="266"/>
        <item x="450"/>
        <item x="433"/>
        <item x="238"/>
        <item x="466"/>
        <item x="58"/>
        <item x="104"/>
        <item x="91"/>
        <item x="101"/>
        <item x="214"/>
        <item x="82"/>
        <item x="314"/>
        <item x="399"/>
        <item x="41"/>
        <item x="112"/>
        <item x="70"/>
        <item x="200"/>
        <item x="49"/>
        <item x="258"/>
        <item x="252"/>
        <item x="371"/>
        <item x="4"/>
        <item x="11"/>
        <item x="472"/>
        <item x="132"/>
        <item x="467"/>
        <item x="457"/>
        <item x="380"/>
        <item x="145"/>
        <item x="114"/>
        <item x="156"/>
        <item x="463"/>
        <item x="73"/>
        <item x="391"/>
        <item x="408"/>
        <item x="106"/>
        <item x="38"/>
        <item x="236"/>
        <item x="83"/>
        <item x="151"/>
        <item x="376"/>
        <item x="360"/>
        <item x="87"/>
        <item x="278"/>
        <item x="235"/>
        <item x="30"/>
        <item x="370"/>
        <item x="8"/>
        <item x="69"/>
        <item x="84"/>
        <item x="66"/>
        <item x="35"/>
        <item x="7"/>
        <item x="22"/>
        <item x="144"/>
        <item x="196"/>
        <item x="295"/>
        <item x="143"/>
        <item x="304"/>
        <item x="471"/>
        <item x="3"/>
        <item x="213"/>
        <item x="242"/>
        <item x="393"/>
        <item x="139"/>
        <item x="159"/>
        <item x="394"/>
        <item x="127"/>
        <item x="403"/>
        <item x="402"/>
        <item x="95"/>
        <item x="96"/>
        <item x="149"/>
        <item x="358"/>
        <item x="300"/>
        <item x="440"/>
        <item x="208"/>
        <item x="120"/>
        <item x="356"/>
        <item x="293"/>
        <item x="296"/>
        <item x="183"/>
        <item x="221"/>
        <item x="130"/>
        <item x="413"/>
        <item x="286"/>
        <item x="12"/>
        <item x="478"/>
        <item x="75"/>
        <item x="224"/>
        <item x="404"/>
        <item x="436"/>
        <item x="186"/>
        <item x="315"/>
        <item x="210"/>
        <item x="230"/>
        <item x="325"/>
        <item x="303"/>
        <item x="37"/>
        <item x="464"/>
        <item x="98"/>
        <item x="115"/>
        <item x="227"/>
        <item x="147"/>
        <item x="357"/>
        <item x="385"/>
        <item x="46"/>
        <item x="439"/>
        <item x="324"/>
        <item x="311"/>
        <item x="318"/>
        <item x="442"/>
        <item x="389"/>
        <item x="387"/>
        <item x="401"/>
        <item x="287"/>
        <item x="141"/>
        <item x="216"/>
        <item x="13"/>
        <item x="100"/>
        <item x="211"/>
        <item x="428"/>
        <item x="323"/>
        <item x="417"/>
        <item x="319"/>
        <item x="245"/>
        <item x="239"/>
        <item x="363"/>
        <item x="36"/>
        <item x="431"/>
        <item x="366"/>
        <item x="207"/>
        <item x="249"/>
        <item x="361"/>
        <item x="88"/>
        <item x="476"/>
        <item x="24"/>
        <item x="205"/>
        <item x="191"/>
        <item x="432"/>
        <item x="396"/>
        <item x="39"/>
        <item x="14"/>
        <item x="244"/>
        <item x="28"/>
        <item x="90"/>
        <item x="430"/>
        <item x="340"/>
        <item x="9"/>
        <item x="158"/>
        <item x="454"/>
        <item x="119"/>
        <item x="125"/>
        <item x="377"/>
        <item x="175"/>
        <item x="23"/>
        <item x="335"/>
        <item x="284"/>
        <item x="406"/>
        <item x="438"/>
        <item x="92"/>
        <item x="309"/>
        <item x="129"/>
        <item x="60"/>
        <item x="71"/>
        <item x="94"/>
        <item x="62"/>
        <item x="354"/>
        <item x="397"/>
        <item x="133"/>
        <item x="283"/>
        <item x="121"/>
        <item x="419"/>
        <item x="410"/>
        <item x="99"/>
        <item x="52"/>
        <item x="162"/>
        <item x="473"/>
        <item x="170"/>
        <item x="412"/>
        <item x="222"/>
        <item x="31"/>
        <item x="257"/>
        <item x="294"/>
        <item x="477"/>
        <item x="232"/>
        <item x="327"/>
        <item x="435"/>
        <item x="407"/>
        <item x="460"/>
        <item x="381"/>
        <item x="202"/>
        <item x="461"/>
        <item x="209"/>
        <item x="292"/>
        <item x="475"/>
        <item x="256"/>
        <item x="474"/>
        <item x="282"/>
        <item x="298"/>
        <item x="333"/>
        <item x="63"/>
        <item x="468"/>
        <item x="79"/>
        <item x="229"/>
        <item x="64"/>
        <item x="85"/>
        <item x="302"/>
        <item x="185"/>
        <item x="372"/>
        <item x="316"/>
        <item x="89"/>
        <item x="342"/>
        <item x="240"/>
        <item x="288"/>
        <item x="263"/>
        <item x="345"/>
        <item x="42"/>
        <item x="164"/>
        <item x="215"/>
        <item x="437"/>
        <item x="6"/>
        <item x="150"/>
        <item x="379"/>
        <item x="218"/>
        <item x="355"/>
        <item x="111"/>
        <item x="237"/>
        <item x="422"/>
        <item x="313"/>
        <item x="140"/>
        <item x="33"/>
        <item x="194"/>
        <item x="55"/>
        <item x="322"/>
        <item x="378"/>
        <item x="347"/>
        <item x="155"/>
        <item x="109"/>
        <item x="414"/>
        <item x="248"/>
        <item x="359"/>
        <item x="459"/>
        <item x="128"/>
        <item x="297"/>
        <item x="105"/>
        <item x="250"/>
        <item x="161"/>
        <item x="291"/>
        <item x="182"/>
        <item x="187"/>
        <item x="184"/>
        <item x="190"/>
        <item x="181"/>
        <item x="275"/>
        <item x="337"/>
        <item x="270"/>
        <item x="173"/>
        <item x="131"/>
        <item x="365"/>
        <item x="411"/>
        <item x="54"/>
        <item x="344"/>
        <item x="462"/>
        <item x="2"/>
        <item x="301"/>
        <item x="146"/>
        <item x="382"/>
        <item x="446"/>
        <item x="103"/>
        <item x="255"/>
        <item x="364"/>
        <item x="259"/>
        <item x="81"/>
        <item x="220"/>
        <item x="246"/>
        <item x="349"/>
        <item x="34"/>
        <item x="116"/>
        <item x="136"/>
        <item x="165"/>
        <item x="289"/>
        <item x="5"/>
        <item x="168"/>
        <item x="0"/>
        <item x="445"/>
        <item x="331"/>
        <item x="16"/>
        <item x="199"/>
        <item x="1"/>
        <item x="285"/>
        <item x="388"/>
        <item x="346"/>
        <item x="277"/>
        <item x="429"/>
        <item x="444"/>
        <item x="233"/>
        <item x="338"/>
        <item x="336"/>
        <item x="40"/>
        <item x="447"/>
        <item x="123"/>
        <item x="32"/>
        <item x="48"/>
        <item x="102"/>
        <item x="241"/>
        <item x="219"/>
        <item x="480"/>
        <item t="default"/>
      </items>
    </pivotField>
    <pivotField showAll="0"/>
    <pivotField showAll="0"/>
    <pivotField showAll="0"/>
    <pivotField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1"/>
        <item x="0"/>
        <item x="3"/>
        <item x="4"/>
        <item x="2"/>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8"/>
  </rowFields>
  <rowItems count="6">
    <i>
      <x/>
    </i>
    <i>
      <x v="1"/>
    </i>
    <i>
      <x v="2"/>
    </i>
    <i>
      <x v="3"/>
    </i>
    <i>
      <x v="4"/>
    </i>
    <i t="grand">
      <x/>
    </i>
  </rowItems>
  <colItems count="1">
    <i/>
  </colItems>
  <dataFields count="1">
    <dataField name="Count of Customer_ID" fld="0"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8" count="1" selected="0">
            <x v="0"/>
          </reference>
        </references>
      </pivotArea>
    </chartFormat>
    <chartFormat chart="1" format="3">
      <pivotArea type="data" outline="0" fieldPosition="0">
        <references count="2">
          <reference field="4294967294" count="1" selected="0">
            <x v="0"/>
          </reference>
          <reference field="18" count="1" selected="0">
            <x v="1"/>
          </reference>
        </references>
      </pivotArea>
    </chartFormat>
    <chartFormat chart="1" format="4">
      <pivotArea type="data" outline="0" fieldPosition="0">
        <references count="2">
          <reference field="4294967294" count="1" selected="0">
            <x v="0"/>
          </reference>
          <reference field="18" count="1" selected="0">
            <x v="2"/>
          </reference>
        </references>
      </pivotArea>
    </chartFormat>
    <chartFormat chart="1" format="5">
      <pivotArea type="data" outline="0" fieldPosition="0">
        <references count="2">
          <reference field="4294967294" count="1" selected="0">
            <x v="0"/>
          </reference>
          <reference field="18" count="1" selected="0">
            <x v="3"/>
          </reference>
        </references>
      </pivotArea>
    </chartFormat>
    <chartFormat chart="1" format="6">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C4AC727E-2A5D-4C19-A36D-6DC2387D9EED}" sourceName="City_Tier">
  <pivotTables>
    <pivotTable tabId="6" name="PivotTable1"/>
    <pivotTable tabId="6" name="PivotTable2"/>
    <pivotTable tabId="6" name="PivotTable10"/>
    <pivotTable tabId="6" name="PivotTable11"/>
    <pivotTable tabId="6" name="PivotTable4"/>
    <pivotTable tabId="6" name="PivotTable5"/>
    <pivotTable tabId="6" name="PivotTable6"/>
    <pivotTable tabId="6" name="PivotTable7"/>
    <pivotTable tabId="6" name="PivotTable8"/>
    <pivotTable tabId="6" name="PivotTable9"/>
  </pivotTables>
  <data>
    <tabular pivotCacheId="1184916521">
      <items count="4">
        <i x="2"/>
        <i x="1" s="1"/>
        <i x="0"/>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4B96B2F-E7EC-4054-AF9B-C7A3B071ACF5}" sourceName="age group">
  <pivotTables>
    <pivotTable tabId="6" name="PivotTable4"/>
    <pivotTable tabId="6" name="PivotTable1"/>
    <pivotTable tabId="6" name="PivotTable10"/>
    <pivotTable tabId="6" name="PivotTable11"/>
    <pivotTable tabId="6" name="PivotTable12"/>
    <pivotTable tabId="6" name="PivotTable2"/>
    <pivotTable tabId="6" name="PivotTable5"/>
    <pivotTable tabId="6" name="PivotTable6"/>
    <pivotTable tabId="6" name="PivotTable7"/>
    <pivotTable tabId="6" name="PivotTable8"/>
    <pivotTable tabId="6" name="PivotTable9"/>
  </pivotTables>
  <data>
    <tabular pivotCacheId="1184916521">
      <items count="6">
        <i x="1" s="1"/>
        <i x="0" s="1"/>
        <i x="3" s="1"/>
        <i x="4"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Tier" xr10:uid="{ACE1D8A6-5278-4C4B-AD7A-8489564CFA5E}" cache="Slicer_City_Tier" caption="City_Tier" rowHeight="247650"/>
  <slicer name="age group" xr10:uid="{D4BF767F-53C7-4045-A6D9-24896A11447C}" cache="Slicer_age_group" caption="age group"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Tier 1" xr10:uid="{B313EB66-29C1-4C6E-8EBD-4FD3DBD6C563}" cache="Slicer_City_Tier" caption="City_Tier" style="SlicerStyleLight2" rowHeight="247650"/>
  <slicer name="age group 1" xr10:uid="{232D5973-A843-4A43-9591-B578379AE0D1}" cache="Slicer_age_group" caption="age group"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084C-263C-46F2-B452-2D72EDC53A89}">
  <dimension ref="A1:R601"/>
  <sheetViews>
    <sheetView zoomScale="83" workbookViewId="0">
      <pane ySplit="1" topLeftCell="A2" activePane="bottomLeft" state="frozen"/>
      <selection pane="bottomLeft" activeCell="L18" sqref="L18"/>
    </sheetView>
  </sheetViews>
  <sheetFormatPr defaultRowHeight="14.4" x14ac:dyDescent="0.3"/>
  <cols>
    <col min="2" max="2" width="12" customWidth="1"/>
    <col min="9" max="9" width="15.5546875" customWidth="1"/>
    <col min="10" max="10" width="13.6640625" customWidth="1"/>
    <col min="11" max="11" width="13.33203125" customWidth="1"/>
    <col min="12" max="12" width="10" customWidth="1"/>
    <col min="13" max="13" width="11.21875" customWidth="1"/>
    <col min="15" max="15" width="13.44140625" customWidth="1"/>
    <col min="16" max="16" width="11.88671875" customWidth="1"/>
    <col min="17" max="17" width="15.88671875" customWidth="1"/>
    <col min="18" max="18" width="19.109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s="1">
        <v>45966</v>
      </c>
      <c r="C2">
        <v>2025</v>
      </c>
      <c r="D2" t="s">
        <v>19</v>
      </c>
      <c r="E2" t="s">
        <v>20</v>
      </c>
      <c r="F2" t="s">
        <v>21</v>
      </c>
      <c r="G2">
        <v>51</v>
      </c>
      <c r="H2" t="s">
        <v>22</v>
      </c>
      <c r="I2" t="s">
        <v>23</v>
      </c>
      <c r="J2">
        <v>499</v>
      </c>
      <c r="K2" t="s">
        <v>24</v>
      </c>
      <c r="L2">
        <v>24</v>
      </c>
      <c r="M2" t="s">
        <v>25</v>
      </c>
      <c r="N2" t="s">
        <v>26</v>
      </c>
      <c r="O2">
        <v>32</v>
      </c>
      <c r="P2" t="s">
        <v>27</v>
      </c>
      <c r="Q2">
        <v>5</v>
      </c>
      <c r="R2">
        <v>499</v>
      </c>
    </row>
    <row r="3" spans="1:18" x14ac:dyDescent="0.3">
      <c r="A3" t="s">
        <v>28</v>
      </c>
      <c r="B3" s="1">
        <v>45980</v>
      </c>
      <c r="C3">
        <v>2025</v>
      </c>
      <c r="D3" t="s">
        <v>19</v>
      </c>
      <c r="E3" t="s">
        <v>20</v>
      </c>
      <c r="F3" t="s">
        <v>29</v>
      </c>
      <c r="G3">
        <v>19</v>
      </c>
      <c r="H3" t="s">
        <v>22</v>
      </c>
      <c r="I3" t="s">
        <v>23</v>
      </c>
      <c r="J3">
        <v>499</v>
      </c>
      <c r="K3" t="s">
        <v>30</v>
      </c>
      <c r="L3">
        <v>29</v>
      </c>
      <c r="M3" t="s">
        <v>31</v>
      </c>
      <c r="N3" t="s">
        <v>32</v>
      </c>
      <c r="O3">
        <v>14</v>
      </c>
      <c r="P3" t="s">
        <v>27</v>
      </c>
      <c r="Q3">
        <v>3</v>
      </c>
      <c r="R3">
        <v>499</v>
      </c>
    </row>
    <row r="4" spans="1:18" x14ac:dyDescent="0.3">
      <c r="A4" t="s">
        <v>33</v>
      </c>
      <c r="B4" s="1">
        <v>45891</v>
      </c>
      <c r="C4">
        <v>2025</v>
      </c>
      <c r="D4" t="s">
        <v>34</v>
      </c>
      <c r="E4" t="s">
        <v>35</v>
      </c>
      <c r="F4" t="s">
        <v>29</v>
      </c>
      <c r="G4">
        <v>47</v>
      </c>
      <c r="H4" t="s">
        <v>36</v>
      </c>
      <c r="I4" t="s">
        <v>37</v>
      </c>
      <c r="J4">
        <v>199</v>
      </c>
      <c r="K4" t="s">
        <v>30</v>
      </c>
      <c r="L4">
        <v>44</v>
      </c>
      <c r="M4" t="s">
        <v>25</v>
      </c>
      <c r="N4" t="s">
        <v>32</v>
      </c>
      <c r="O4">
        <v>29</v>
      </c>
      <c r="P4" t="s">
        <v>27</v>
      </c>
      <c r="Q4">
        <v>5</v>
      </c>
      <c r="R4">
        <v>199</v>
      </c>
    </row>
    <row r="5" spans="1:18" x14ac:dyDescent="0.3">
      <c r="A5" t="s">
        <v>38</v>
      </c>
      <c r="B5" s="1">
        <v>45286</v>
      </c>
      <c r="C5">
        <v>2023</v>
      </c>
      <c r="D5" t="s">
        <v>39</v>
      </c>
      <c r="E5" t="s">
        <v>35</v>
      </c>
      <c r="F5" t="s">
        <v>21</v>
      </c>
      <c r="G5">
        <v>19</v>
      </c>
      <c r="H5" t="s">
        <v>22</v>
      </c>
      <c r="I5" t="s">
        <v>23</v>
      </c>
      <c r="J5">
        <v>499</v>
      </c>
      <c r="K5" t="s">
        <v>40</v>
      </c>
      <c r="L5">
        <v>33</v>
      </c>
      <c r="M5" t="s">
        <v>41</v>
      </c>
      <c r="N5" t="s">
        <v>32</v>
      </c>
      <c r="O5">
        <v>7</v>
      </c>
      <c r="P5" t="s">
        <v>27</v>
      </c>
      <c r="Q5">
        <v>4</v>
      </c>
      <c r="R5">
        <v>499</v>
      </c>
    </row>
    <row r="6" spans="1:18" x14ac:dyDescent="0.3">
      <c r="A6" t="s">
        <v>42</v>
      </c>
      <c r="B6" s="1">
        <v>45144</v>
      </c>
      <c r="C6">
        <v>2023</v>
      </c>
      <c r="D6" t="s">
        <v>34</v>
      </c>
      <c r="E6" t="s">
        <v>43</v>
      </c>
      <c r="F6" t="s">
        <v>29</v>
      </c>
      <c r="G6">
        <v>18</v>
      </c>
      <c r="H6" t="s">
        <v>22</v>
      </c>
      <c r="I6" t="s">
        <v>23</v>
      </c>
      <c r="J6">
        <v>499</v>
      </c>
      <c r="K6" t="s">
        <v>44</v>
      </c>
      <c r="L6">
        <v>20</v>
      </c>
      <c r="M6" t="s">
        <v>45</v>
      </c>
      <c r="N6" t="s">
        <v>26</v>
      </c>
      <c r="O6">
        <v>43</v>
      </c>
      <c r="P6" t="s">
        <v>27</v>
      </c>
      <c r="Q6">
        <v>4</v>
      </c>
      <c r="R6">
        <v>499</v>
      </c>
    </row>
    <row r="7" spans="1:18" x14ac:dyDescent="0.3">
      <c r="A7" t="s">
        <v>46</v>
      </c>
      <c r="B7" s="1">
        <v>45954</v>
      </c>
      <c r="C7">
        <v>2025</v>
      </c>
      <c r="D7" t="s">
        <v>47</v>
      </c>
      <c r="E7" t="s">
        <v>35</v>
      </c>
      <c r="F7" t="s">
        <v>29</v>
      </c>
      <c r="G7">
        <v>33</v>
      </c>
      <c r="H7" t="s">
        <v>36</v>
      </c>
      <c r="I7" t="s">
        <v>48</v>
      </c>
      <c r="J7">
        <v>649</v>
      </c>
      <c r="K7" t="s">
        <v>49</v>
      </c>
      <c r="L7">
        <v>40</v>
      </c>
      <c r="M7" t="s">
        <v>41</v>
      </c>
      <c r="N7" t="s">
        <v>26</v>
      </c>
      <c r="O7">
        <v>36</v>
      </c>
      <c r="P7" t="s">
        <v>27</v>
      </c>
      <c r="Q7">
        <v>3</v>
      </c>
      <c r="R7">
        <v>649</v>
      </c>
    </row>
    <row r="8" spans="1:18" x14ac:dyDescent="0.3">
      <c r="A8" t="s">
        <v>50</v>
      </c>
      <c r="B8" s="1">
        <v>45750</v>
      </c>
      <c r="C8">
        <v>2025</v>
      </c>
      <c r="D8" t="s">
        <v>51</v>
      </c>
      <c r="E8" t="s">
        <v>52</v>
      </c>
      <c r="F8" t="s">
        <v>29</v>
      </c>
      <c r="G8">
        <v>43</v>
      </c>
      <c r="H8" t="s">
        <v>22</v>
      </c>
      <c r="I8" t="s">
        <v>23</v>
      </c>
      <c r="J8">
        <v>499</v>
      </c>
      <c r="K8" t="s">
        <v>53</v>
      </c>
      <c r="L8">
        <v>42</v>
      </c>
      <c r="M8" t="s">
        <v>45</v>
      </c>
      <c r="N8" t="s">
        <v>32</v>
      </c>
      <c r="O8">
        <v>32</v>
      </c>
      <c r="P8" t="s">
        <v>27</v>
      </c>
      <c r="Q8">
        <v>3</v>
      </c>
      <c r="R8">
        <v>499</v>
      </c>
    </row>
    <row r="9" spans="1:18" x14ac:dyDescent="0.3">
      <c r="A9" t="s">
        <v>54</v>
      </c>
      <c r="B9" s="1">
        <v>45254</v>
      </c>
      <c r="C9">
        <v>2023</v>
      </c>
      <c r="D9" t="s">
        <v>19</v>
      </c>
      <c r="E9" t="s">
        <v>52</v>
      </c>
      <c r="F9" t="s">
        <v>21</v>
      </c>
      <c r="G9">
        <v>23</v>
      </c>
      <c r="H9" t="s">
        <v>36</v>
      </c>
      <c r="I9" t="s">
        <v>37</v>
      </c>
      <c r="J9">
        <v>199</v>
      </c>
      <c r="K9" t="s">
        <v>40</v>
      </c>
      <c r="L9">
        <v>27</v>
      </c>
      <c r="M9" t="s">
        <v>31</v>
      </c>
      <c r="N9" t="s">
        <v>55</v>
      </c>
      <c r="O9">
        <v>36</v>
      </c>
      <c r="P9" t="s">
        <v>27</v>
      </c>
      <c r="Q9">
        <v>4</v>
      </c>
      <c r="R9">
        <v>199</v>
      </c>
    </row>
    <row r="10" spans="1:18" x14ac:dyDescent="0.3">
      <c r="A10" t="s">
        <v>56</v>
      </c>
      <c r="B10" s="1">
        <v>45231</v>
      </c>
      <c r="C10">
        <v>2023</v>
      </c>
      <c r="D10" t="s">
        <v>19</v>
      </c>
      <c r="E10" t="s">
        <v>20</v>
      </c>
      <c r="F10" t="s">
        <v>21</v>
      </c>
      <c r="G10">
        <v>34</v>
      </c>
      <c r="H10" t="s">
        <v>36</v>
      </c>
      <c r="I10" t="s">
        <v>37</v>
      </c>
      <c r="J10">
        <v>199</v>
      </c>
      <c r="K10" t="s">
        <v>57</v>
      </c>
      <c r="L10">
        <v>50</v>
      </c>
      <c r="M10" t="s">
        <v>31</v>
      </c>
      <c r="N10" t="s">
        <v>58</v>
      </c>
      <c r="O10">
        <v>12</v>
      </c>
      <c r="P10" t="s">
        <v>27</v>
      </c>
      <c r="Q10">
        <v>3</v>
      </c>
      <c r="R10">
        <v>199</v>
      </c>
    </row>
    <row r="11" spans="1:18" x14ac:dyDescent="0.3">
      <c r="A11" t="s">
        <v>59</v>
      </c>
      <c r="B11" s="1">
        <v>45548</v>
      </c>
      <c r="C11">
        <v>2024</v>
      </c>
      <c r="D11" t="s">
        <v>60</v>
      </c>
      <c r="E11" t="s">
        <v>35</v>
      </c>
      <c r="F11" t="s">
        <v>21</v>
      </c>
      <c r="G11">
        <v>40</v>
      </c>
      <c r="H11" t="s">
        <v>36</v>
      </c>
      <c r="I11" t="s">
        <v>48</v>
      </c>
      <c r="J11">
        <v>649</v>
      </c>
      <c r="K11" t="s">
        <v>24</v>
      </c>
      <c r="L11">
        <v>30</v>
      </c>
      <c r="M11" t="s">
        <v>41</v>
      </c>
      <c r="N11" t="s">
        <v>58</v>
      </c>
      <c r="O11">
        <v>22</v>
      </c>
      <c r="P11" t="s">
        <v>27</v>
      </c>
      <c r="Q11">
        <v>5</v>
      </c>
      <c r="R11">
        <v>649</v>
      </c>
    </row>
    <row r="12" spans="1:18" x14ac:dyDescent="0.3">
      <c r="A12" t="s">
        <v>61</v>
      </c>
      <c r="B12" s="1">
        <v>44949</v>
      </c>
      <c r="C12">
        <v>2023</v>
      </c>
      <c r="D12" t="s">
        <v>62</v>
      </c>
      <c r="E12" t="s">
        <v>43</v>
      </c>
      <c r="F12" t="s">
        <v>63</v>
      </c>
      <c r="G12">
        <v>27</v>
      </c>
      <c r="H12" t="s">
        <v>22</v>
      </c>
      <c r="I12" t="s">
        <v>37</v>
      </c>
      <c r="J12">
        <v>199</v>
      </c>
      <c r="K12" t="s">
        <v>30</v>
      </c>
      <c r="L12">
        <v>44</v>
      </c>
      <c r="M12" t="s">
        <v>31</v>
      </c>
      <c r="N12" t="s">
        <v>26</v>
      </c>
      <c r="O12">
        <v>23</v>
      </c>
      <c r="P12" t="s">
        <v>27</v>
      </c>
      <c r="Q12">
        <v>4</v>
      </c>
      <c r="R12">
        <v>199</v>
      </c>
    </row>
    <row r="13" spans="1:18" x14ac:dyDescent="0.3">
      <c r="A13" t="s">
        <v>64</v>
      </c>
      <c r="B13" s="1">
        <v>45152</v>
      </c>
      <c r="C13">
        <v>2023</v>
      </c>
      <c r="D13" t="s">
        <v>34</v>
      </c>
      <c r="E13" t="s">
        <v>43</v>
      </c>
      <c r="F13" t="s">
        <v>29</v>
      </c>
      <c r="G13">
        <v>50</v>
      </c>
      <c r="H13" t="s">
        <v>36</v>
      </c>
      <c r="I13" t="s">
        <v>37</v>
      </c>
      <c r="J13">
        <v>199</v>
      </c>
      <c r="K13" t="s">
        <v>57</v>
      </c>
      <c r="L13">
        <v>26</v>
      </c>
      <c r="M13" t="s">
        <v>31</v>
      </c>
      <c r="N13" t="s">
        <v>55</v>
      </c>
      <c r="O13">
        <v>12</v>
      </c>
      <c r="P13" t="s">
        <v>27</v>
      </c>
      <c r="Q13">
        <v>4</v>
      </c>
      <c r="R13">
        <v>199</v>
      </c>
    </row>
    <row r="14" spans="1:18" x14ac:dyDescent="0.3">
      <c r="A14" t="s">
        <v>65</v>
      </c>
      <c r="B14" s="1">
        <v>45366</v>
      </c>
      <c r="C14">
        <v>2024</v>
      </c>
      <c r="D14" t="s">
        <v>66</v>
      </c>
      <c r="E14" t="s">
        <v>43</v>
      </c>
      <c r="F14" t="s">
        <v>21</v>
      </c>
      <c r="G14">
        <v>40</v>
      </c>
      <c r="H14" t="s">
        <v>22</v>
      </c>
      <c r="I14" t="s">
        <v>37</v>
      </c>
      <c r="J14">
        <v>199</v>
      </c>
      <c r="K14" t="s">
        <v>67</v>
      </c>
      <c r="L14">
        <v>27</v>
      </c>
      <c r="M14" t="s">
        <v>31</v>
      </c>
      <c r="N14" t="s">
        <v>55</v>
      </c>
      <c r="O14">
        <v>46</v>
      </c>
      <c r="P14" t="s">
        <v>27</v>
      </c>
      <c r="Q14">
        <v>3</v>
      </c>
      <c r="R14">
        <v>199</v>
      </c>
    </row>
    <row r="15" spans="1:18" x14ac:dyDescent="0.3">
      <c r="A15" t="s">
        <v>68</v>
      </c>
      <c r="B15" s="1">
        <v>45453</v>
      </c>
      <c r="C15">
        <v>2024</v>
      </c>
      <c r="D15" t="s">
        <v>69</v>
      </c>
      <c r="E15" t="s">
        <v>35</v>
      </c>
      <c r="F15" t="s">
        <v>63</v>
      </c>
      <c r="G15">
        <v>24</v>
      </c>
      <c r="H15" t="s">
        <v>22</v>
      </c>
      <c r="I15" t="s">
        <v>37</v>
      </c>
      <c r="J15">
        <v>199</v>
      </c>
      <c r="K15" t="s">
        <v>40</v>
      </c>
      <c r="L15">
        <v>53</v>
      </c>
      <c r="M15" t="s">
        <v>41</v>
      </c>
      <c r="N15" t="s">
        <v>58</v>
      </c>
      <c r="O15">
        <v>44</v>
      </c>
      <c r="P15" t="s">
        <v>27</v>
      </c>
      <c r="Q15">
        <v>5</v>
      </c>
      <c r="R15">
        <v>199</v>
      </c>
    </row>
    <row r="16" spans="1:18" x14ac:dyDescent="0.3">
      <c r="A16" t="s">
        <v>70</v>
      </c>
      <c r="B16" s="1">
        <v>45521</v>
      </c>
      <c r="C16">
        <v>2024</v>
      </c>
      <c r="D16" t="s">
        <v>34</v>
      </c>
      <c r="E16" t="s">
        <v>20</v>
      </c>
      <c r="F16" t="s">
        <v>63</v>
      </c>
      <c r="G16">
        <v>41</v>
      </c>
      <c r="H16" t="s">
        <v>22</v>
      </c>
      <c r="I16" t="s">
        <v>48</v>
      </c>
      <c r="J16">
        <v>649</v>
      </c>
      <c r="K16" t="s">
        <v>30</v>
      </c>
      <c r="L16">
        <v>27</v>
      </c>
      <c r="M16" t="s">
        <v>25</v>
      </c>
      <c r="N16" t="s">
        <v>32</v>
      </c>
      <c r="O16">
        <v>7</v>
      </c>
      <c r="P16" t="s">
        <v>27</v>
      </c>
      <c r="Q16">
        <v>3</v>
      </c>
      <c r="R16">
        <v>649</v>
      </c>
    </row>
    <row r="17" spans="1:18" x14ac:dyDescent="0.3">
      <c r="A17" t="s">
        <v>71</v>
      </c>
      <c r="B17" s="1">
        <v>44585</v>
      </c>
      <c r="C17">
        <v>2022</v>
      </c>
      <c r="D17" t="s">
        <v>62</v>
      </c>
      <c r="E17" t="s">
        <v>35</v>
      </c>
      <c r="F17" t="s">
        <v>29</v>
      </c>
      <c r="G17">
        <v>39</v>
      </c>
      <c r="H17" t="s">
        <v>36</v>
      </c>
      <c r="I17" t="s">
        <v>23</v>
      </c>
      <c r="J17">
        <v>499</v>
      </c>
      <c r="K17" t="s">
        <v>49</v>
      </c>
      <c r="L17">
        <v>23</v>
      </c>
      <c r="M17" t="s">
        <v>25</v>
      </c>
      <c r="N17" t="s">
        <v>55</v>
      </c>
      <c r="O17">
        <v>30</v>
      </c>
      <c r="P17" t="s">
        <v>27</v>
      </c>
      <c r="Q17">
        <v>4</v>
      </c>
      <c r="R17">
        <v>499</v>
      </c>
    </row>
    <row r="18" spans="1:18" x14ac:dyDescent="0.3">
      <c r="A18" t="s">
        <v>72</v>
      </c>
      <c r="B18" s="1">
        <v>45970</v>
      </c>
      <c r="C18">
        <v>2025</v>
      </c>
      <c r="D18" t="s">
        <v>19</v>
      </c>
      <c r="E18" t="s">
        <v>20</v>
      </c>
      <c r="F18" t="s">
        <v>21</v>
      </c>
      <c r="G18">
        <v>19</v>
      </c>
      <c r="H18" t="s">
        <v>22</v>
      </c>
      <c r="I18" t="s">
        <v>37</v>
      </c>
      <c r="J18">
        <v>199</v>
      </c>
      <c r="K18" t="s">
        <v>40</v>
      </c>
      <c r="L18">
        <v>33</v>
      </c>
      <c r="M18" t="s">
        <v>41</v>
      </c>
      <c r="N18" t="s">
        <v>26</v>
      </c>
      <c r="O18">
        <v>38</v>
      </c>
      <c r="P18" t="s">
        <v>73</v>
      </c>
      <c r="Q18">
        <v>2</v>
      </c>
      <c r="R18">
        <v>0</v>
      </c>
    </row>
    <row r="19" spans="1:18" x14ac:dyDescent="0.3">
      <c r="A19" t="s">
        <v>74</v>
      </c>
      <c r="B19" s="1">
        <v>44880</v>
      </c>
      <c r="C19">
        <v>2022</v>
      </c>
      <c r="D19" t="s">
        <v>19</v>
      </c>
      <c r="E19" t="s">
        <v>52</v>
      </c>
      <c r="F19" t="s">
        <v>63</v>
      </c>
      <c r="G19">
        <v>28</v>
      </c>
      <c r="H19" t="s">
        <v>22</v>
      </c>
      <c r="I19" t="s">
        <v>48</v>
      </c>
      <c r="J19">
        <v>649</v>
      </c>
      <c r="K19" t="s">
        <v>75</v>
      </c>
      <c r="L19">
        <v>37</v>
      </c>
      <c r="M19" t="s">
        <v>45</v>
      </c>
      <c r="N19" t="s">
        <v>26</v>
      </c>
      <c r="O19">
        <v>28</v>
      </c>
      <c r="P19" t="s">
        <v>27</v>
      </c>
      <c r="Q19">
        <v>3</v>
      </c>
      <c r="R19">
        <v>649</v>
      </c>
    </row>
    <row r="20" spans="1:18" x14ac:dyDescent="0.3">
      <c r="A20" t="s">
        <v>76</v>
      </c>
      <c r="B20" s="1">
        <v>44821</v>
      </c>
      <c r="C20">
        <v>2022</v>
      </c>
      <c r="D20" t="s">
        <v>60</v>
      </c>
      <c r="E20" t="s">
        <v>43</v>
      </c>
      <c r="F20" t="s">
        <v>21</v>
      </c>
      <c r="G20">
        <v>54</v>
      </c>
      <c r="H20" t="s">
        <v>22</v>
      </c>
      <c r="I20" t="s">
        <v>23</v>
      </c>
      <c r="J20">
        <v>499</v>
      </c>
      <c r="K20" t="s">
        <v>30</v>
      </c>
      <c r="L20">
        <v>47</v>
      </c>
      <c r="M20" t="s">
        <v>25</v>
      </c>
      <c r="N20" t="s">
        <v>26</v>
      </c>
      <c r="O20">
        <v>25</v>
      </c>
      <c r="P20" t="s">
        <v>27</v>
      </c>
      <c r="Q20">
        <v>4</v>
      </c>
      <c r="R20">
        <v>499</v>
      </c>
    </row>
    <row r="21" spans="1:18" x14ac:dyDescent="0.3">
      <c r="A21" t="s">
        <v>77</v>
      </c>
      <c r="B21" s="1">
        <v>44657</v>
      </c>
      <c r="C21">
        <v>2022</v>
      </c>
      <c r="D21" t="s">
        <v>51</v>
      </c>
      <c r="E21" t="s">
        <v>35</v>
      </c>
      <c r="F21" t="s">
        <v>63</v>
      </c>
      <c r="G21">
        <v>51</v>
      </c>
      <c r="H21" t="s">
        <v>22</v>
      </c>
      <c r="I21" t="s">
        <v>23</v>
      </c>
      <c r="J21">
        <v>499</v>
      </c>
      <c r="K21" t="s">
        <v>44</v>
      </c>
      <c r="L21">
        <v>34</v>
      </c>
      <c r="M21" t="s">
        <v>45</v>
      </c>
      <c r="N21" t="s">
        <v>58</v>
      </c>
      <c r="O21">
        <v>16</v>
      </c>
      <c r="P21" t="s">
        <v>27</v>
      </c>
      <c r="Q21">
        <v>3</v>
      </c>
      <c r="R21">
        <v>499</v>
      </c>
    </row>
    <row r="22" spans="1:18" x14ac:dyDescent="0.3">
      <c r="A22" t="s">
        <v>78</v>
      </c>
      <c r="B22" s="1">
        <v>44703</v>
      </c>
      <c r="C22">
        <v>2022</v>
      </c>
      <c r="D22" t="s">
        <v>79</v>
      </c>
      <c r="E22" t="s">
        <v>52</v>
      </c>
      <c r="F22" t="s">
        <v>63</v>
      </c>
      <c r="G22">
        <v>37</v>
      </c>
      <c r="H22" t="s">
        <v>22</v>
      </c>
      <c r="I22" t="s">
        <v>37</v>
      </c>
      <c r="J22">
        <v>199</v>
      </c>
      <c r="K22" t="s">
        <v>49</v>
      </c>
      <c r="L22">
        <v>52</v>
      </c>
      <c r="M22" t="s">
        <v>45</v>
      </c>
      <c r="N22" t="s">
        <v>55</v>
      </c>
      <c r="O22">
        <v>38</v>
      </c>
      <c r="P22" t="s">
        <v>27</v>
      </c>
      <c r="Q22">
        <v>4</v>
      </c>
      <c r="R22">
        <v>199</v>
      </c>
    </row>
    <row r="23" spans="1:18" x14ac:dyDescent="0.3">
      <c r="A23" t="s">
        <v>80</v>
      </c>
      <c r="B23" s="1">
        <v>44633</v>
      </c>
      <c r="C23">
        <v>2022</v>
      </c>
      <c r="D23" t="s">
        <v>66</v>
      </c>
      <c r="E23" t="s">
        <v>35</v>
      </c>
      <c r="F23" t="s">
        <v>63</v>
      </c>
      <c r="G23">
        <v>20</v>
      </c>
      <c r="H23" t="s">
        <v>22</v>
      </c>
      <c r="I23" t="s">
        <v>37</v>
      </c>
      <c r="J23">
        <v>199</v>
      </c>
      <c r="K23" t="s">
        <v>24</v>
      </c>
      <c r="L23">
        <v>28</v>
      </c>
      <c r="M23" t="s">
        <v>45</v>
      </c>
      <c r="N23" t="s">
        <v>58</v>
      </c>
      <c r="O23">
        <v>3</v>
      </c>
      <c r="P23" t="s">
        <v>27</v>
      </c>
      <c r="Q23">
        <v>3</v>
      </c>
      <c r="R23">
        <v>199</v>
      </c>
    </row>
    <row r="24" spans="1:18" x14ac:dyDescent="0.3">
      <c r="A24" t="s">
        <v>81</v>
      </c>
      <c r="B24" s="1">
        <v>45264</v>
      </c>
      <c r="C24">
        <v>2023</v>
      </c>
      <c r="D24" t="s">
        <v>39</v>
      </c>
      <c r="E24" t="s">
        <v>52</v>
      </c>
      <c r="F24" t="s">
        <v>63</v>
      </c>
      <c r="G24">
        <v>29</v>
      </c>
      <c r="H24" t="s">
        <v>36</v>
      </c>
      <c r="I24" t="s">
        <v>23</v>
      </c>
      <c r="J24">
        <v>499</v>
      </c>
      <c r="K24" t="s">
        <v>75</v>
      </c>
      <c r="L24">
        <v>26</v>
      </c>
      <c r="M24" t="s">
        <v>31</v>
      </c>
      <c r="N24" t="s">
        <v>55</v>
      </c>
      <c r="O24">
        <v>1</v>
      </c>
      <c r="P24" t="s">
        <v>27</v>
      </c>
      <c r="Q24">
        <v>4</v>
      </c>
      <c r="R24">
        <v>499</v>
      </c>
    </row>
    <row r="25" spans="1:18" x14ac:dyDescent="0.3">
      <c r="A25" t="s">
        <v>82</v>
      </c>
      <c r="B25" s="1">
        <v>45568</v>
      </c>
      <c r="C25">
        <v>2024</v>
      </c>
      <c r="D25" t="s">
        <v>47</v>
      </c>
      <c r="E25" t="s">
        <v>20</v>
      </c>
      <c r="F25" t="s">
        <v>63</v>
      </c>
      <c r="G25">
        <v>35</v>
      </c>
      <c r="H25" t="s">
        <v>22</v>
      </c>
      <c r="I25" t="s">
        <v>37</v>
      </c>
      <c r="J25">
        <v>199</v>
      </c>
      <c r="K25" t="s">
        <v>24</v>
      </c>
      <c r="L25">
        <v>26</v>
      </c>
      <c r="M25" t="s">
        <v>31</v>
      </c>
      <c r="N25" t="s">
        <v>55</v>
      </c>
      <c r="O25">
        <v>39</v>
      </c>
      <c r="P25" t="s">
        <v>27</v>
      </c>
      <c r="Q25">
        <v>4</v>
      </c>
      <c r="R25">
        <v>199</v>
      </c>
    </row>
    <row r="26" spans="1:18" x14ac:dyDescent="0.3">
      <c r="A26" t="s">
        <v>83</v>
      </c>
      <c r="B26" s="1">
        <v>45505</v>
      </c>
      <c r="C26">
        <v>2024</v>
      </c>
      <c r="D26" t="s">
        <v>34</v>
      </c>
      <c r="E26" t="s">
        <v>35</v>
      </c>
      <c r="F26" t="s">
        <v>63</v>
      </c>
      <c r="G26">
        <v>38</v>
      </c>
      <c r="H26" t="s">
        <v>22</v>
      </c>
      <c r="I26" t="s">
        <v>23</v>
      </c>
      <c r="J26">
        <v>499</v>
      </c>
      <c r="K26" t="s">
        <v>57</v>
      </c>
      <c r="L26">
        <v>48</v>
      </c>
      <c r="M26" t="s">
        <v>45</v>
      </c>
      <c r="N26" t="s">
        <v>32</v>
      </c>
      <c r="O26">
        <v>37</v>
      </c>
      <c r="P26" t="s">
        <v>27</v>
      </c>
      <c r="Q26">
        <v>3</v>
      </c>
      <c r="R26">
        <v>499</v>
      </c>
    </row>
    <row r="27" spans="1:18" x14ac:dyDescent="0.3">
      <c r="A27" t="s">
        <v>84</v>
      </c>
      <c r="B27" s="1">
        <v>44773</v>
      </c>
      <c r="C27">
        <v>2022</v>
      </c>
      <c r="D27" t="s">
        <v>85</v>
      </c>
      <c r="E27" t="s">
        <v>43</v>
      </c>
      <c r="F27" t="s">
        <v>29</v>
      </c>
      <c r="G27">
        <v>45</v>
      </c>
      <c r="H27" t="s">
        <v>22</v>
      </c>
      <c r="I27" t="s">
        <v>23</v>
      </c>
      <c r="J27">
        <v>499</v>
      </c>
      <c r="K27" t="s">
        <v>49</v>
      </c>
      <c r="L27">
        <v>36</v>
      </c>
      <c r="M27" t="s">
        <v>45</v>
      </c>
      <c r="N27" t="s">
        <v>55</v>
      </c>
      <c r="O27">
        <v>16</v>
      </c>
      <c r="P27" t="s">
        <v>27</v>
      </c>
      <c r="Q27">
        <v>5</v>
      </c>
      <c r="R27">
        <v>499</v>
      </c>
    </row>
    <row r="28" spans="1:18" x14ac:dyDescent="0.3">
      <c r="A28" t="s">
        <v>86</v>
      </c>
      <c r="B28" s="1">
        <v>45034</v>
      </c>
      <c r="C28">
        <v>2023</v>
      </c>
      <c r="D28" t="s">
        <v>51</v>
      </c>
      <c r="E28" t="s">
        <v>20</v>
      </c>
      <c r="F28" t="s">
        <v>63</v>
      </c>
      <c r="G28">
        <v>20</v>
      </c>
      <c r="H28" t="s">
        <v>22</v>
      </c>
      <c r="I28" t="s">
        <v>37</v>
      </c>
      <c r="J28">
        <v>199</v>
      </c>
      <c r="K28" t="s">
        <v>53</v>
      </c>
      <c r="L28">
        <v>37</v>
      </c>
      <c r="M28" t="s">
        <v>41</v>
      </c>
      <c r="N28" t="s">
        <v>55</v>
      </c>
      <c r="O28">
        <v>25</v>
      </c>
      <c r="P28" t="s">
        <v>27</v>
      </c>
      <c r="Q28">
        <v>4</v>
      </c>
      <c r="R28">
        <v>199</v>
      </c>
    </row>
    <row r="29" spans="1:18" x14ac:dyDescent="0.3">
      <c r="A29" t="s">
        <v>87</v>
      </c>
      <c r="B29" s="1">
        <v>44864</v>
      </c>
      <c r="C29">
        <v>2022</v>
      </c>
      <c r="D29" t="s">
        <v>47</v>
      </c>
      <c r="E29" t="s">
        <v>35</v>
      </c>
      <c r="F29" t="s">
        <v>63</v>
      </c>
      <c r="G29">
        <v>29</v>
      </c>
      <c r="H29" t="s">
        <v>36</v>
      </c>
      <c r="I29" t="s">
        <v>48</v>
      </c>
      <c r="J29">
        <v>649</v>
      </c>
      <c r="K29" t="s">
        <v>57</v>
      </c>
      <c r="L29">
        <v>37</v>
      </c>
      <c r="M29" t="s">
        <v>41</v>
      </c>
      <c r="N29" t="s">
        <v>55</v>
      </c>
      <c r="O29">
        <v>7</v>
      </c>
      <c r="P29" t="s">
        <v>27</v>
      </c>
      <c r="Q29">
        <v>5</v>
      </c>
      <c r="R29">
        <v>649</v>
      </c>
    </row>
    <row r="30" spans="1:18" x14ac:dyDescent="0.3">
      <c r="A30" t="s">
        <v>88</v>
      </c>
      <c r="B30" s="1">
        <v>45532</v>
      </c>
      <c r="C30">
        <v>2024</v>
      </c>
      <c r="D30" t="s">
        <v>34</v>
      </c>
      <c r="E30" t="s">
        <v>20</v>
      </c>
      <c r="F30" t="s">
        <v>21</v>
      </c>
      <c r="G30">
        <v>34</v>
      </c>
      <c r="H30" t="s">
        <v>36</v>
      </c>
      <c r="I30" t="s">
        <v>37</v>
      </c>
      <c r="J30">
        <v>199</v>
      </c>
      <c r="K30" t="s">
        <v>53</v>
      </c>
      <c r="L30">
        <v>44</v>
      </c>
      <c r="M30" t="s">
        <v>31</v>
      </c>
      <c r="N30" t="s">
        <v>58</v>
      </c>
      <c r="O30">
        <v>33</v>
      </c>
      <c r="P30" t="s">
        <v>27</v>
      </c>
      <c r="Q30">
        <v>3</v>
      </c>
      <c r="R30">
        <v>199</v>
      </c>
    </row>
    <row r="31" spans="1:18" x14ac:dyDescent="0.3">
      <c r="A31" t="s">
        <v>89</v>
      </c>
      <c r="B31" s="1">
        <v>45045</v>
      </c>
      <c r="C31">
        <v>2023</v>
      </c>
      <c r="D31" t="s">
        <v>51</v>
      </c>
      <c r="E31" t="s">
        <v>52</v>
      </c>
      <c r="F31" t="s">
        <v>21</v>
      </c>
      <c r="G31">
        <v>50</v>
      </c>
      <c r="H31" t="s">
        <v>22</v>
      </c>
      <c r="I31" t="s">
        <v>37</v>
      </c>
      <c r="J31">
        <v>199</v>
      </c>
      <c r="K31" t="s">
        <v>30</v>
      </c>
      <c r="L31">
        <v>35</v>
      </c>
      <c r="M31" t="s">
        <v>45</v>
      </c>
      <c r="N31" t="s">
        <v>58</v>
      </c>
      <c r="O31">
        <v>1</v>
      </c>
      <c r="P31" t="s">
        <v>27</v>
      </c>
      <c r="Q31">
        <v>4</v>
      </c>
      <c r="R31">
        <v>199</v>
      </c>
    </row>
    <row r="32" spans="1:18" x14ac:dyDescent="0.3">
      <c r="A32" t="s">
        <v>90</v>
      </c>
      <c r="B32" s="1">
        <v>45228</v>
      </c>
      <c r="C32">
        <v>2023</v>
      </c>
      <c r="D32" t="s">
        <v>47</v>
      </c>
      <c r="E32" t="s">
        <v>52</v>
      </c>
      <c r="F32" t="s">
        <v>63</v>
      </c>
      <c r="G32">
        <v>40</v>
      </c>
      <c r="H32" t="s">
        <v>36</v>
      </c>
      <c r="I32" t="s">
        <v>23</v>
      </c>
      <c r="J32">
        <v>499</v>
      </c>
      <c r="K32" t="s">
        <v>53</v>
      </c>
      <c r="L32">
        <v>30</v>
      </c>
      <c r="M32" t="s">
        <v>41</v>
      </c>
      <c r="N32" t="s">
        <v>58</v>
      </c>
      <c r="O32">
        <v>30</v>
      </c>
      <c r="P32" t="s">
        <v>27</v>
      </c>
      <c r="Q32">
        <v>4</v>
      </c>
      <c r="R32">
        <v>499</v>
      </c>
    </row>
    <row r="33" spans="1:18" x14ac:dyDescent="0.3">
      <c r="A33" t="s">
        <v>91</v>
      </c>
      <c r="B33" s="1">
        <v>45632</v>
      </c>
      <c r="C33">
        <v>2024</v>
      </c>
      <c r="D33" t="s">
        <v>39</v>
      </c>
      <c r="E33" t="s">
        <v>43</v>
      </c>
      <c r="F33" t="s">
        <v>63</v>
      </c>
      <c r="G33">
        <v>32</v>
      </c>
      <c r="H33" t="s">
        <v>36</v>
      </c>
      <c r="I33" t="s">
        <v>23</v>
      </c>
      <c r="J33">
        <v>499</v>
      </c>
      <c r="K33" t="s">
        <v>49</v>
      </c>
      <c r="L33">
        <v>54</v>
      </c>
      <c r="M33" t="s">
        <v>41</v>
      </c>
      <c r="N33" t="s">
        <v>26</v>
      </c>
      <c r="O33">
        <v>45</v>
      </c>
      <c r="P33" t="s">
        <v>27</v>
      </c>
      <c r="Q33">
        <v>5</v>
      </c>
      <c r="R33">
        <v>499</v>
      </c>
    </row>
    <row r="34" spans="1:18" x14ac:dyDescent="0.3">
      <c r="A34" t="s">
        <v>92</v>
      </c>
      <c r="B34" s="1">
        <v>46007</v>
      </c>
      <c r="C34">
        <v>2025</v>
      </c>
      <c r="D34" t="s">
        <v>39</v>
      </c>
      <c r="E34" t="s">
        <v>35</v>
      </c>
      <c r="F34" t="s">
        <v>21</v>
      </c>
      <c r="G34">
        <v>18</v>
      </c>
      <c r="H34" t="s">
        <v>36</v>
      </c>
      <c r="I34" t="s">
        <v>23</v>
      </c>
      <c r="J34">
        <v>499</v>
      </c>
      <c r="K34" t="s">
        <v>57</v>
      </c>
      <c r="L34">
        <v>38</v>
      </c>
      <c r="M34" t="s">
        <v>25</v>
      </c>
      <c r="N34" t="s">
        <v>32</v>
      </c>
      <c r="O34">
        <v>36</v>
      </c>
      <c r="P34" t="s">
        <v>27</v>
      </c>
      <c r="Q34">
        <v>4</v>
      </c>
      <c r="R34">
        <v>499</v>
      </c>
    </row>
    <row r="35" spans="1:18" x14ac:dyDescent="0.3">
      <c r="A35" t="s">
        <v>93</v>
      </c>
      <c r="B35" s="1">
        <v>45782</v>
      </c>
      <c r="C35">
        <v>2025</v>
      </c>
      <c r="D35" t="s">
        <v>79</v>
      </c>
      <c r="E35" t="s">
        <v>43</v>
      </c>
      <c r="F35" t="s">
        <v>63</v>
      </c>
      <c r="G35">
        <v>55</v>
      </c>
      <c r="H35" t="s">
        <v>22</v>
      </c>
      <c r="I35" t="s">
        <v>48</v>
      </c>
      <c r="J35">
        <v>649</v>
      </c>
      <c r="K35" t="s">
        <v>53</v>
      </c>
      <c r="L35">
        <v>41</v>
      </c>
      <c r="M35" t="s">
        <v>41</v>
      </c>
      <c r="N35" t="s">
        <v>58</v>
      </c>
      <c r="O35">
        <v>16</v>
      </c>
      <c r="P35" t="s">
        <v>27</v>
      </c>
      <c r="Q35">
        <v>3</v>
      </c>
      <c r="R35">
        <v>649</v>
      </c>
    </row>
    <row r="36" spans="1:18" x14ac:dyDescent="0.3">
      <c r="A36" t="s">
        <v>94</v>
      </c>
      <c r="B36" s="1">
        <v>45933</v>
      </c>
      <c r="C36">
        <v>2025</v>
      </c>
      <c r="D36" t="s">
        <v>47</v>
      </c>
      <c r="E36" t="s">
        <v>52</v>
      </c>
      <c r="F36" t="s">
        <v>63</v>
      </c>
      <c r="G36">
        <v>19</v>
      </c>
      <c r="H36" t="s">
        <v>36</v>
      </c>
      <c r="I36" t="s">
        <v>37</v>
      </c>
      <c r="J36">
        <v>199</v>
      </c>
      <c r="K36" t="s">
        <v>75</v>
      </c>
      <c r="L36">
        <v>49</v>
      </c>
      <c r="M36" t="s">
        <v>31</v>
      </c>
      <c r="N36" t="s">
        <v>55</v>
      </c>
      <c r="O36">
        <v>8</v>
      </c>
      <c r="P36" t="s">
        <v>27</v>
      </c>
      <c r="Q36">
        <v>4</v>
      </c>
      <c r="R36">
        <v>199</v>
      </c>
    </row>
    <row r="37" spans="1:18" x14ac:dyDescent="0.3">
      <c r="A37" t="s">
        <v>95</v>
      </c>
      <c r="B37" s="1">
        <v>45249</v>
      </c>
      <c r="C37">
        <v>2023</v>
      </c>
      <c r="D37" t="s">
        <v>19</v>
      </c>
      <c r="E37" t="s">
        <v>35</v>
      </c>
      <c r="F37" t="s">
        <v>21</v>
      </c>
      <c r="G37">
        <v>51</v>
      </c>
      <c r="H37" t="s">
        <v>36</v>
      </c>
      <c r="I37" t="s">
        <v>23</v>
      </c>
      <c r="J37">
        <v>499</v>
      </c>
      <c r="K37" t="s">
        <v>30</v>
      </c>
      <c r="L37">
        <v>40</v>
      </c>
      <c r="M37" t="s">
        <v>41</v>
      </c>
      <c r="N37" t="s">
        <v>58</v>
      </c>
      <c r="O37">
        <v>44</v>
      </c>
      <c r="P37" t="s">
        <v>27</v>
      </c>
      <c r="Q37">
        <v>4</v>
      </c>
      <c r="R37">
        <v>499</v>
      </c>
    </row>
    <row r="38" spans="1:18" x14ac:dyDescent="0.3">
      <c r="A38" t="s">
        <v>96</v>
      </c>
      <c r="B38" s="1">
        <v>45479</v>
      </c>
      <c r="C38">
        <v>2024</v>
      </c>
      <c r="D38" t="s">
        <v>85</v>
      </c>
      <c r="E38" t="s">
        <v>52</v>
      </c>
      <c r="F38" t="s">
        <v>63</v>
      </c>
      <c r="G38">
        <v>48</v>
      </c>
      <c r="H38" t="s">
        <v>36</v>
      </c>
      <c r="I38" t="s">
        <v>23</v>
      </c>
      <c r="J38">
        <v>499</v>
      </c>
      <c r="K38" t="s">
        <v>57</v>
      </c>
      <c r="L38">
        <v>58</v>
      </c>
      <c r="M38" t="s">
        <v>45</v>
      </c>
      <c r="N38" t="s">
        <v>32</v>
      </c>
      <c r="O38">
        <v>16</v>
      </c>
      <c r="P38" t="s">
        <v>27</v>
      </c>
      <c r="Q38">
        <v>3</v>
      </c>
      <c r="R38">
        <v>499</v>
      </c>
    </row>
    <row r="39" spans="1:18" x14ac:dyDescent="0.3">
      <c r="A39" t="s">
        <v>97</v>
      </c>
      <c r="B39" s="1">
        <v>45401</v>
      </c>
      <c r="C39">
        <v>2024</v>
      </c>
      <c r="D39" t="s">
        <v>51</v>
      </c>
      <c r="E39" t="s">
        <v>35</v>
      </c>
      <c r="F39" t="s">
        <v>29</v>
      </c>
      <c r="G39">
        <v>51</v>
      </c>
      <c r="H39" t="s">
        <v>22</v>
      </c>
      <c r="I39" t="s">
        <v>37</v>
      </c>
      <c r="J39">
        <v>199</v>
      </c>
      <c r="K39" t="s">
        <v>24</v>
      </c>
      <c r="L39">
        <v>43</v>
      </c>
      <c r="M39" t="s">
        <v>31</v>
      </c>
      <c r="N39" t="s">
        <v>32</v>
      </c>
      <c r="O39">
        <v>27</v>
      </c>
      <c r="P39" t="s">
        <v>27</v>
      </c>
      <c r="Q39">
        <v>4</v>
      </c>
      <c r="R39">
        <v>199</v>
      </c>
    </row>
    <row r="40" spans="1:18" x14ac:dyDescent="0.3">
      <c r="A40" t="s">
        <v>98</v>
      </c>
      <c r="B40" s="1">
        <v>45202</v>
      </c>
      <c r="C40">
        <v>2023</v>
      </c>
      <c r="D40" t="s">
        <v>47</v>
      </c>
      <c r="E40" t="s">
        <v>52</v>
      </c>
      <c r="F40" t="s">
        <v>21</v>
      </c>
      <c r="G40">
        <v>49</v>
      </c>
      <c r="H40" t="s">
        <v>22</v>
      </c>
      <c r="I40" t="s">
        <v>23</v>
      </c>
      <c r="J40">
        <v>499</v>
      </c>
      <c r="K40" t="s">
        <v>30</v>
      </c>
      <c r="L40">
        <v>45</v>
      </c>
      <c r="M40" t="s">
        <v>31</v>
      </c>
      <c r="N40" t="s">
        <v>26</v>
      </c>
      <c r="O40">
        <v>2</v>
      </c>
      <c r="P40" t="s">
        <v>27</v>
      </c>
      <c r="Q40">
        <v>4</v>
      </c>
      <c r="R40">
        <v>499</v>
      </c>
    </row>
    <row r="41" spans="1:18" x14ac:dyDescent="0.3">
      <c r="A41" t="s">
        <v>99</v>
      </c>
      <c r="B41" s="1">
        <v>45520</v>
      </c>
      <c r="C41">
        <v>2024</v>
      </c>
      <c r="D41" t="s">
        <v>34</v>
      </c>
      <c r="E41" t="s">
        <v>20</v>
      </c>
      <c r="F41" t="s">
        <v>21</v>
      </c>
      <c r="G41">
        <v>49</v>
      </c>
      <c r="H41" t="s">
        <v>22</v>
      </c>
      <c r="I41" t="s">
        <v>37</v>
      </c>
      <c r="J41">
        <v>199</v>
      </c>
      <c r="K41" t="s">
        <v>67</v>
      </c>
      <c r="L41">
        <v>37</v>
      </c>
      <c r="M41" t="s">
        <v>31</v>
      </c>
      <c r="N41" t="s">
        <v>32</v>
      </c>
      <c r="O41">
        <v>48</v>
      </c>
      <c r="P41" t="s">
        <v>27</v>
      </c>
      <c r="Q41">
        <v>5</v>
      </c>
      <c r="R41">
        <v>199</v>
      </c>
    </row>
    <row r="42" spans="1:18" x14ac:dyDescent="0.3">
      <c r="A42" t="s">
        <v>100</v>
      </c>
      <c r="B42" s="1">
        <v>45999</v>
      </c>
      <c r="C42">
        <v>2025</v>
      </c>
      <c r="D42" t="s">
        <v>39</v>
      </c>
      <c r="E42" t="s">
        <v>43</v>
      </c>
      <c r="F42" t="s">
        <v>29</v>
      </c>
      <c r="G42">
        <v>18</v>
      </c>
      <c r="H42" t="s">
        <v>22</v>
      </c>
      <c r="I42" t="s">
        <v>48</v>
      </c>
      <c r="J42">
        <v>649</v>
      </c>
      <c r="K42" t="s">
        <v>44</v>
      </c>
      <c r="L42">
        <v>30</v>
      </c>
      <c r="M42" t="s">
        <v>45</v>
      </c>
      <c r="N42" t="s">
        <v>55</v>
      </c>
      <c r="O42">
        <v>2</v>
      </c>
      <c r="P42" t="s">
        <v>27</v>
      </c>
      <c r="Q42">
        <v>5</v>
      </c>
      <c r="R42">
        <v>649</v>
      </c>
    </row>
    <row r="43" spans="1:18" x14ac:dyDescent="0.3">
      <c r="A43" t="s">
        <v>101</v>
      </c>
      <c r="B43" s="1">
        <v>45127</v>
      </c>
      <c r="C43">
        <v>2023</v>
      </c>
      <c r="D43" t="s">
        <v>85</v>
      </c>
      <c r="E43" t="s">
        <v>20</v>
      </c>
      <c r="F43" t="s">
        <v>63</v>
      </c>
      <c r="G43">
        <v>29</v>
      </c>
      <c r="H43" t="s">
        <v>22</v>
      </c>
      <c r="I43" t="s">
        <v>48</v>
      </c>
      <c r="J43">
        <v>649</v>
      </c>
      <c r="K43" t="s">
        <v>49</v>
      </c>
      <c r="L43">
        <v>50</v>
      </c>
      <c r="M43" t="s">
        <v>25</v>
      </c>
      <c r="N43" t="s">
        <v>32</v>
      </c>
      <c r="O43">
        <v>38</v>
      </c>
      <c r="P43" t="s">
        <v>27</v>
      </c>
      <c r="Q43">
        <v>4</v>
      </c>
      <c r="R43">
        <v>649</v>
      </c>
    </row>
    <row r="44" spans="1:18" x14ac:dyDescent="0.3">
      <c r="A44" t="s">
        <v>102</v>
      </c>
      <c r="B44" s="1">
        <v>45733</v>
      </c>
      <c r="C44">
        <v>2025</v>
      </c>
      <c r="D44" t="s">
        <v>66</v>
      </c>
      <c r="E44" t="s">
        <v>35</v>
      </c>
      <c r="F44" t="s">
        <v>29</v>
      </c>
      <c r="G44">
        <v>52</v>
      </c>
      <c r="H44" t="s">
        <v>22</v>
      </c>
      <c r="I44" t="s">
        <v>37</v>
      </c>
      <c r="J44">
        <v>199</v>
      </c>
      <c r="K44" t="s">
        <v>75</v>
      </c>
      <c r="L44">
        <v>52</v>
      </c>
      <c r="M44" t="s">
        <v>45</v>
      </c>
      <c r="N44" t="s">
        <v>55</v>
      </c>
      <c r="O44">
        <v>21</v>
      </c>
      <c r="P44" t="s">
        <v>73</v>
      </c>
      <c r="Q44">
        <v>5</v>
      </c>
      <c r="R44">
        <v>0</v>
      </c>
    </row>
    <row r="45" spans="1:18" x14ac:dyDescent="0.3">
      <c r="A45" t="s">
        <v>103</v>
      </c>
      <c r="B45" s="1">
        <v>44708</v>
      </c>
      <c r="C45">
        <v>2022</v>
      </c>
      <c r="D45" t="s">
        <v>79</v>
      </c>
      <c r="E45" t="s">
        <v>43</v>
      </c>
      <c r="F45" t="s">
        <v>63</v>
      </c>
      <c r="G45">
        <v>49</v>
      </c>
      <c r="H45" t="s">
        <v>22</v>
      </c>
      <c r="I45" t="s">
        <v>48</v>
      </c>
      <c r="J45">
        <v>649</v>
      </c>
      <c r="K45" t="s">
        <v>44</v>
      </c>
      <c r="L45">
        <v>45</v>
      </c>
      <c r="M45" t="s">
        <v>45</v>
      </c>
      <c r="N45" t="s">
        <v>32</v>
      </c>
      <c r="O45">
        <v>41</v>
      </c>
      <c r="P45" t="s">
        <v>27</v>
      </c>
      <c r="Q45">
        <v>3</v>
      </c>
      <c r="R45">
        <v>649</v>
      </c>
    </row>
    <row r="46" spans="1:18" x14ac:dyDescent="0.3">
      <c r="A46" t="s">
        <v>104</v>
      </c>
      <c r="B46" s="1">
        <v>44954</v>
      </c>
      <c r="C46">
        <v>2023</v>
      </c>
      <c r="D46" t="s">
        <v>62</v>
      </c>
      <c r="E46" t="s">
        <v>35</v>
      </c>
      <c r="F46" t="s">
        <v>29</v>
      </c>
      <c r="G46">
        <v>27</v>
      </c>
      <c r="H46" t="s">
        <v>36</v>
      </c>
      <c r="I46" t="s">
        <v>37</v>
      </c>
      <c r="J46">
        <v>199</v>
      </c>
      <c r="K46" t="s">
        <v>44</v>
      </c>
      <c r="L46">
        <v>58</v>
      </c>
      <c r="M46" t="s">
        <v>41</v>
      </c>
      <c r="N46" t="s">
        <v>55</v>
      </c>
      <c r="O46">
        <v>26</v>
      </c>
      <c r="P46" t="s">
        <v>73</v>
      </c>
      <c r="Q46">
        <v>5</v>
      </c>
      <c r="R46">
        <v>0</v>
      </c>
    </row>
    <row r="47" spans="1:18" x14ac:dyDescent="0.3">
      <c r="A47" t="s">
        <v>105</v>
      </c>
      <c r="B47" s="1">
        <v>44715</v>
      </c>
      <c r="C47">
        <v>2022</v>
      </c>
      <c r="D47" t="s">
        <v>69</v>
      </c>
      <c r="E47" t="s">
        <v>43</v>
      </c>
      <c r="F47" t="s">
        <v>29</v>
      </c>
      <c r="G47">
        <v>34</v>
      </c>
      <c r="H47" t="s">
        <v>22</v>
      </c>
      <c r="I47" t="s">
        <v>37</v>
      </c>
      <c r="J47">
        <v>199</v>
      </c>
      <c r="K47" t="s">
        <v>40</v>
      </c>
      <c r="L47">
        <v>33</v>
      </c>
      <c r="M47" t="s">
        <v>25</v>
      </c>
      <c r="N47" t="s">
        <v>26</v>
      </c>
      <c r="O47">
        <v>16</v>
      </c>
      <c r="P47" t="s">
        <v>73</v>
      </c>
      <c r="Q47">
        <v>4</v>
      </c>
      <c r="R47">
        <v>0</v>
      </c>
    </row>
    <row r="48" spans="1:18" x14ac:dyDescent="0.3">
      <c r="A48" t="s">
        <v>106</v>
      </c>
      <c r="B48" s="1">
        <v>45427</v>
      </c>
      <c r="C48">
        <v>2024</v>
      </c>
      <c r="D48" t="s">
        <v>79</v>
      </c>
      <c r="E48" t="s">
        <v>43</v>
      </c>
      <c r="F48" t="s">
        <v>29</v>
      </c>
      <c r="G48">
        <v>38</v>
      </c>
      <c r="H48" t="s">
        <v>36</v>
      </c>
      <c r="I48" t="s">
        <v>48</v>
      </c>
      <c r="J48">
        <v>649</v>
      </c>
      <c r="K48" t="s">
        <v>75</v>
      </c>
      <c r="L48">
        <v>56</v>
      </c>
      <c r="M48" t="s">
        <v>31</v>
      </c>
      <c r="N48" t="s">
        <v>26</v>
      </c>
      <c r="O48">
        <v>42</v>
      </c>
      <c r="P48" t="s">
        <v>27</v>
      </c>
      <c r="Q48">
        <v>3</v>
      </c>
      <c r="R48">
        <v>649</v>
      </c>
    </row>
    <row r="49" spans="1:18" x14ac:dyDescent="0.3">
      <c r="A49" t="s">
        <v>107</v>
      </c>
      <c r="B49" s="1">
        <v>45087</v>
      </c>
      <c r="C49">
        <v>2023</v>
      </c>
      <c r="D49" t="s">
        <v>69</v>
      </c>
      <c r="E49" t="s">
        <v>35</v>
      </c>
      <c r="F49" t="s">
        <v>29</v>
      </c>
      <c r="G49">
        <v>42</v>
      </c>
      <c r="H49" t="s">
        <v>22</v>
      </c>
      <c r="I49" t="s">
        <v>37</v>
      </c>
      <c r="J49">
        <v>199</v>
      </c>
      <c r="K49" t="s">
        <v>44</v>
      </c>
      <c r="L49">
        <v>51</v>
      </c>
      <c r="M49" t="s">
        <v>25</v>
      </c>
      <c r="N49" t="s">
        <v>32</v>
      </c>
      <c r="O49">
        <v>9</v>
      </c>
      <c r="P49" t="s">
        <v>27</v>
      </c>
      <c r="Q49">
        <v>4</v>
      </c>
      <c r="R49">
        <v>199</v>
      </c>
    </row>
    <row r="50" spans="1:18" x14ac:dyDescent="0.3">
      <c r="A50" t="s">
        <v>108</v>
      </c>
      <c r="B50" s="1">
        <v>46010</v>
      </c>
      <c r="C50">
        <v>2025</v>
      </c>
      <c r="D50" t="s">
        <v>39</v>
      </c>
      <c r="E50" t="s">
        <v>20</v>
      </c>
      <c r="F50" t="s">
        <v>21</v>
      </c>
      <c r="G50">
        <v>24</v>
      </c>
      <c r="H50" t="s">
        <v>22</v>
      </c>
      <c r="I50" t="s">
        <v>37</v>
      </c>
      <c r="J50">
        <v>199</v>
      </c>
      <c r="K50" t="s">
        <v>44</v>
      </c>
      <c r="L50">
        <v>60</v>
      </c>
      <c r="M50" t="s">
        <v>25</v>
      </c>
      <c r="N50" t="s">
        <v>55</v>
      </c>
      <c r="O50">
        <v>28</v>
      </c>
      <c r="P50" t="s">
        <v>27</v>
      </c>
      <c r="Q50">
        <v>5</v>
      </c>
      <c r="R50">
        <v>199</v>
      </c>
    </row>
    <row r="51" spans="1:18" x14ac:dyDescent="0.3">
      <c r="A51" t="s">
        <v>109</v>
      </c>
      <c r="B51" s="1">
        <v>45134</v>
      </c>
      <c r="C51">
        <v>2023</v>
      </c>
      <c r="D51" t="s">
        <v>85</v>
      </c>
      <c r="E51" t="s">
        <v>20</v>
      </c>
      <c r="F51" t="s">
        <v>63</v>
      </c>
      <c r="G51">
        <v>22</v>
      </c>
      <c r="H51" t="s">
        <v>22</v>
      </c>
      <c r="I51" t="s">
        <v>37</v>
      </c>
      <c r="J51">
        <v>199</v>
      </c>
      <c r="K51" t="s">
        <v>75</v>
      </c>
      <c r="L51">
        <v>44</v>
      </c>
      <c r="M51" t="s">
        <v>41</v>
      </c>
      <c r="N51" t="s">
        <v>55</v>
      </c>
      <c r="O51">
        <v>4</v>
      </c>
      <c r="P51" t="s">
        <v>73</v>
      </c>
      <c r="Q51">
        <v>3</v>
      </c>
      <c r="R51">
        <v>0</v>
      </c>
    </row>
    <row r="52" spans="1:18" x14ac:dyDescent="0.3">
      <c r="A52" t="s">
        <v>110</v>
      </c>
      <c r="B52" s="1">
        <v>44613</v>
      </c>
      <c r="C52">
        <v>2022</v>
      </c>
      <c r="D52" t="s">
        <v>111</v>
      </c>
      <c r="E52" t="s">
        <v>20</v>
      </c>
      <c r="F52" t="s">
        <v>21</v>
      </c>
      <c r="G52">
        <v>30</v>
      </c>
      <c r="H52" t="s">
        <v>22</v>
      </c>
      <c r="I52" t="s">
        <v>48</v>
      </c>
      <c r="J52">
        <v>649</v>
      </c>
      <c r="K52" t="s">
        <v>49</v>
      </c>
      <c r="L52">
        <v>60</v>
      </c>
      <c r="M52" t="s">
        <v>31</v>
      </c>
      <c r="N52" t="s">
        <v>58</v>
      </c>
      <c r="O52">
        <v>5</v>
      </c>
      <c r="P52" t="s">
        <v>27</v>
      </c>
      <c r="Q52">
        <v>3</v>
      </c>
      <c r="R52">
        <v>649</v>
      </c>
    </row>
    <row r="53" spans="1:18" x14ac:dyDescent="0.3">
      <c r="A53" t="s">
        <v>112</v>
      </c>
      <c r="B53" s="1">
        <v>44917</v>
      </c>
      <c r="C53">
        <v>2022</v>
      </c>
      <c r="D53" t="s">
        <v>39</v>
      </c>
      <c r="E53" t="s">
        <v>20</v>
      </c>
      <c r="F53" t="s">
        <v>63</v>
      </c>
      <c r="G53">
        <v>47</v>
      </c>
      <c r="H53" t="s">
        <v>36</v>
      </c>
      <c r="I53" t="s">
        <v>23</v>
      </c>
      <c r="J53">
        <v>499</v>
      </c>
      <c r="K53" t="s">
        <v>67</v>
      </c>
      <c r="L53">
        <v>60</v>
      </c>
      <c r="M53" t="s">
        <v>45</v>
      </c>
      <c r="N53" t="s">
        <v>32</v>
      </c>
      <c r="O53">
        <v>19</v>
      </c>
      <c r="P53" t="s">
        <v>27</v>
      </c>
      <c r="Q53">
        <v>5</v>
      </c>
      <c r="R53">
        <v>499</v>
      </c>
    </row>
    <row r="54" spans="1:18" x14ac:dyDescent="0.3">
      <c r="A54" t="s">
        <v>113</v>
      </c>
      <c r="B54" s="1">
        <v>45612</v>
      </c>
      <c r="C54">
        <v>2024</v>
      </c>
      <c r="D54" t="s">
        <v>19</v>
      </c>
      <c r="E54" t="s">
        <v>43</v>
      </c>
      <c r="F54" t="s">
        <v>63</v>
      </c>
      <c r="G54">
        <v>19</v>
      </c>
      <c r="H54" t="s">
        <v>36</v>
      </c>
      <c r="I54" t="s">
        <v>48</v>
      </c>
      <c r="J54">
        <v>649</v>
      </c>
      <c r="K54" t="s">
        <v>30</v>
      </c>
      <c r="L54">
        <v>22</v>
      </c>
      <c r="M54" t="s">
        <v>45</v>
      </c>
      <c r="N54" t="s">
        <v>32</v>
      </c>
      <c r="O54">
        <v>40</v>
      </c>
      <c r="P54" t="s">
        <v>27</v>
      </c>
      <c r="Q54">
        <v>3</v>
      </c>
      <c r="R54">
        <v>649</v>
      </c>
    </row>
    <row r="55" spans="1:18" x14ac:dyDescent="0.3">
      <c r="A55" t="s">
        <v>114</v>
      </c>
      <c r="B55" s="1">
        <v>44608</v>
      </c>
      <c r="C55">
        <v>2022</v>
      </c>
      <c r="D55" t="s">
        <v>111</v>
      </c>
      <c r="E55" t="s">
        <v>35</v>
      </c>
      <c r="F55" t="s">
        <v>63</v>
      </c>
      <c r="G55">
        <v>51</v>
      </c>
      <c r="H55" t="s">
        <v>22</v>
      </c>
      <c r="I55" t="s">
        <v>37</v>
      </c>
      <c r="J55">
        <v>199</v>
      </c>
      <c r="K55" t="s">
        <v>44</v>
      </c>
      <c r="L55">
        <v>32</v>
      </c>
      <c r="M55" t="s">
        <v>41</v>
      </c>
      <c r="N55" t="s">
        <v>26</v>
      </c>
      <c r="O55">
        <v>29</v>
      </c>
      <c r="P55" t="s">
        <v>27</v>
      </c>
      <c r="Q55">
        <v>3</v>
      </c>
      <c r="R55">
        <v>199</v>
      </c>
    </row>
    <row r="56" spans="1:18" x14ac:dyDescent="0.3">
      <c r="A56" t="s">
        <v>115</v>
      </c>
      <c r="B56" s="1">
        <v>45875</v>
      </c>
      <c r="C56">
        <v>2025</v>
      </c>
      <c r="D56" t="s">
        <v>34</v>
      </c>
      <c r="E56" t="s">
        <v>52</v>
      </c>
      <c r="F56" t="s">
        <v>63</v>
      </c>
      <c r="G56">
        <v>26</v>
      </c>
      <c r="H56" t="s">
        <v>22</v>
      </c>
      <c r="I56" t="s">
        <v>37</v>
      </c>
      <c r="J56">
        <v>199</v>
      </c>
      <c r="K56" t="s">
        <v>53</v>
      </c>
      <c r="L56">
        <v>57</v>
      </c>
      <c r="M56" t="s">
        <v>25</v>
      </c>
      <c r="N56" t="s">
        <v>32</v>
      </c>
      <c r="O56">
        <v>16</v>
      </c>
      <c r="P56" t="s">
        <v>73</v>
      </c>
      <c r="Q56">
        <v>2</v>
      </c>
      <c r="R56">
        <v>0</v>
      </c>
    </row>
    <row r="57" spans="1:18" x14ac:dyDescent="0.3">
      <c r="A57" t="s">
        <v>116</v>
      </c>
      <c r="B57" s="1">
        <v>45785</v>
      </c>
      <c r="C57">
        <v>2025</v>
      </c>
      <c r="D57" t="s">
        <v>79</v>
      </c>
      <c r="E57" t="s">
        <v>52</v>
      </c>
      <c r="F57" t="s">
        <v>29</v>
      </c>
      <c r="G57">
        <v>46</v>
      </c>
      <c r="H57" t="s">
        <v>36</v>
      </c>
      <c r="I57" t="s">
        <v>37</v>
      </c>
      <c r="J57">
        <v>199</v>
      </c>
      <c r="K57" t="s">
        <v>24</v>
      </c>
      <c r="L57">
        <v>50</v>
      </c>
      <c r="M57" t="s">
        <v>41</v>
      </c>
      <c r="N57" t="s">
        <v>26</v>
      </c>
      <c r="O57">
        <v>48</v>
      </c>
      <c r="P57" t="s">
        <v>27</v>
      </c>
      <c r="Q57">
        <v>4</v>
      </c>
      <c r="R57">
        <v>199</v>
      </c>
    </row>
    <row r="58" spans="1:18" x14ac:dyDescent="0.3">
      <c r="A58" t="s">
        <v>117</v>
      </c>
      <c r="B58" s="1">
        <v>44718</v>
      </c>
      <c r="C58">
        <v>2022</v>
      </c>
      <c r="D58" t="s">
        <v>69</v>
      </c>
      <c r="E58" t="s">
        <v>52</v>
      </c>
      <c r="F58" t="s">
        <v>29</v>
      </c>
      <c r="G58">
        <v>25</v>
      </c>
      <c r="H58" t="s">
        <v>36</v>
      </c>
      <c r="I58" t="s">
        <v>37</v>
      </c>
      <c r="J58">
        <v>199</v>
      </c>
      <c r="K58" t="s">
        <v>40</v>
      </c>
      <c r="L58">
        <v>35</v>
      </c>
      <c r="M58" t="s">
        <v>31</v>
      </c>
      <c r="N58" t="s">
        <v>58</v>
      </c>
      <c r="O58">
        <v>6</v>
      </c>
      <c r="P58" t="s">
        <v>27</v>
      </c>
      <c r="Q58">
        <v>5</v>
      </c>
      <c r="R58">
        <v>199</v>
      </c>
    </row>
    <row r="59" spans="1:18" x14ac:dyDescent="0.3">
      <c r="A59" t="s">
        <v>118</v>
      </c>
      <c r="B59" s="1">
        <v>44681</v>
      </c>
      <c r="C59">
        <v>2022</v>
      </c>
      <c r="D59" t="s">
        <v>51</v>
      </c>
      <c r="E59" t="s">
        <v>20</v>
      </c>
      <c r="F59" t="s">
        <v>29</v>
      </c>
      <c r="G59">
        <v>32</v>
      </c>
      <c r="H59" t="s">
        <v>36</v>
      </c>
      <c r="I59" t="s">
        <v>37</v>
      </c>
      <c r="J59">
        <v>199</v>
      </c>
      <c r="K59" t="s">
        <v>30</v>
      </c>
      <c r="L59">
        <v>25</v>
      </c>
      <c r="M59" t="s">
        <v>41</v>
      </c>
      <c r="N59" t="s">
        <v>32</v>
      </c>
      <c r="O59">
        <v>12</v>
      </c>
      <c r="P59" t="s">
        <v>27</v>
      </c>
      <c r="Q59">
        <v>4</v>
      </c>
      <c r="R59">
        <v>199</v>
      </c>
    </row>
    <row r="60" spans="1:18" x14ac:dyDescent="0.3">
      <c r="A60" t="s">
        <v>119</v>
      </c>
      <c r="B60" s="1">
        <v>45107</v>
      </c>
      <c r="C60">
        <v>2023</v>
      </c>
      <c r="D60" t="s">
        <v>69</v>
      </c>
      <c r="E60" t="s">
        <v>20</v>
      </c>
      <c r="F60" t="s">
        <v>21</v>
      </c>
      <c r="G60">
        <v>47</v>
      </c>
      <c r="H60" t="s">
        <v>36</v>
      </c>
      <c r="I60" t="s">
        <v>37</v>
      </c>
      <c r="J60">
        <v>199</v>
      </c>
      <c r="K60" t="s">
        <v>75</v>
      </c>
      <c r="L60">
        <v>23</v>
      </c>
      <c r="M60" t="s">
        <v>45</v>
      </c>
      <c r="N60" t="s">
        <v>58</v>
      </c>
      <c r="O60">
        <v>26</v>
      </c>
      <c r="P60" t="s">
        <v>73</v>
      </c>
      <c r="Q60">
        <v>4</v>
      </c>
      <c r="R60">
        <v>0</v>
      </c>
    </row>
    <row r="61" spans="1:18" x14ac:dyDescent="0.3">
      <c r="A61" t="s">
        <v>120</v>
      </c>
      <c r="B61" s="1">
        <v>44628</v>
      </c>
      <c r="C61">
        <v>2022</v>
      </c>
      <c r="D61" t="s">
        <v>66</v>
      </c>
      <c r="E61" t="s">
        <v>43</v>
      </c>
      <c r="F61" t="s">
        <v>21</v>
      </c>
      <c r="G61">
        <v>21</v>
      </c>
      <c r="H61" t="s">
        <v>36</v>
      </c>
      <c r="I61" t="s">
        <v>23</v>
      </c>
      <c r="J61">
        <v>499</v>
      </c>
      <c r="K61" t="s">
        <v>40</v>
      </c>
      <c r="L61">
        <v>52</v>
      </c>
      <c r="M61" t="s">
        <v>45</v>
      </c>
      <c r="N61" t="s">
        <v>26</v>
      </c>
      <c r="O61">
        <v>8</v>
      </c>
      <c r="P61" t="s">
        <v>27</v>
      </c>
      <c r="Q61">
        <v>4</v>
      </c>
      <c r="R61">
        <v>499</v>
      </c>
    </row>
    <row r="62" spans="1:18" x14ac:dyDescent="0.3">
      <c r="A62" t="s">
        <v>121</v>
      </c>
      <c r="B62" s="1">
        <v>45589</v>
      </c>
      <c r="C62">
        <v>2024</v>
      </c>
      <c r="D62" t="s">
        <v>47</v>
      </c>
      <c r="E62" t="s">
        <v>35</v>
      </c>
      <c r="F62" t="s">
        <v>21</v>
      </c>
      <c r="G62">
        <v>38</v>
      </c>
      <c r="H62" t="s">
        <v>22</v>
      </c>
      <c r="I62" t="s">
        <v>37</v>
      </c>
      <c r="J62">
        <v>199</v>
      </c>
      <c r="K62" t="s">
        <v>44</v>
      </c>
      <c r="L62">
        <v>36</v>
      </c>
      <c r="M62" t="s">
        <v>31</v>
      </c>
      <c r="N62" t="s">
        <v>26</v>
      </c>
      <c r="O62">
        <v>24</v>
      </c>
      <c r="P62" t="s">
        <v>27</v>
      </c>
      <c r="Q62">
        <v>5</v>
      </c>
      <c r="R62">
        <v>199</v>
      </c>
    </row>
    <row r="63" spans="1:18" x14ac:dyDescent="0.3">
      <c r="A63" t="s">
        <v>122</v>
      </c>
      <c r="B63" s="1">
        <v>44659</v>
      </c>
      <c r="C63">
        <v>2022</v>
      </c>
      <c r="D63" t="s">
        <v>51</v>
      </c>
      <c r="E63" t="s">
        <v>35</v>
      </c>
      <c r="F63" t="s">
        <v>21</v>
      </c>
      <c r="G63">
        <v>54</v>
      </c>
      <c r="H63" t="s">
        <v>22</v>
      </c>
      <c r="I63" t="s">
        <v>48</v>
      </c>
      <c r="J63">
        <v>649</v>
      </c>
      <c r="K63" t="s">
        <v>53</v>
      </c>
      <c r="L63">
        <v>28</v>
      </c>
      <c r="M63" t="s">
        <v>25</v>
      </c>
      <c r="N63" t="s">
        <v>26</v>
      </c>
      <c r="O63">
        <v>25</v>
      </c>
      <c r="P63" t="s">
        <v>27</v>
      </c>
      <c r="Q63">
        <v>4</v>
      </c>
      <c r="R63">
        <v>649</v>
      </c>
    </row>
    <row r="64" spans="1:18" x14ac:dyDescent="0.3">
      <c r="A64" t="s">
        <v>123</v>
      </c>
      <c r="B64" s="1">
        <v>45596</v>
      </c>
      <c r="C64">
        <v>2024</v>
      </c>
      <c r="D64" t="s">
        <v>47</v>
      </c>
      <c r="E64" t="s">
        <v>43</v>
      </c>
      <c r="F64" t="s">
        <v>63</v>
      </c>
      <c r="G64">
        <v>30</v>
      </c>
      <c r="H64" t="s">
        <v>36</v>
      </c>
      <c r="I64" t="s">
        <v>23</v>
      </c>
      <c r="J64">
        <v>499</v>
      </c>
      <c r="K64" t="s">
        <v>75</v>
      </c>
      <c r="L64">
        <v>59</v>
      </c>
      <c r="M64" t="s">
        <v>45</v>
      </c>
      <c r="N64" t="s">
        <v>55</v>
      </c>
      <c r="O64">
        <v>18</v>
      </c>
      <c r="P64" t="s">
        <v>27</v>
      </c>
      <c r="Q64">
        <v>3</v>
      </c>
      <c r="R64">
        <v>499</v>
      </c>
    </row>
    <row r="65" spans="1:18" x14ac:dyDescent="0.3">
      <c r="A65" t="s">
        <v>124</v>
      </c>
      <c r="B65" s="1">
        <v>45678</v>
      </c>
      <c r="C65">
        <v>2025</v>
      </c>
      <c r="D65" t="s">
        <v>62</v>
      </c>
      <c r="E65" t="s">
        <v>20</v>
      </c>
      <c r="F65" t="s">
        <v>21</v>
      </c>
      <c r="G65">
        <v>52</v>
      </c>
      <c r="H65" t="s">
        <v>22</v>
      </c>
      <c r="I65" t="s">
        <v>48</v>
      </c>
      <c r="J65">
        <v>649</v>
      </c>
      <c r="K65" t="s">
        <v>49</v>
      </c>
      <c r="L65">
        <v>48</v>
      </c>
      <c r="M65" t="s">
        <v>41</v>
      </c>
      <c r="N65" t="s">
        <v>58</v>
      </c>
      <c r="O65">
        <v>26</v>
      </c>
      <c r="P65" t="s">
        <v>27</v>
      </c>
      <c r="Q65">
        <v>5</v>
      </c>
      <c r="R65">
        <v>649</v>
      </c>
    </row>
    <row r="66" spans="1:18" x14ac:dyDescent="0.3">
      <c r="A66" t="s">
        <v>125</v>
      </c>
      <c r="B66" s="1">
        <v>45699</v>
      </c>
      <c r="C66">
        <v>2025</v>
      </c>
      <c r="D66" t="s">
        <v>111</v>
      </c>
      <c r="E66" t="s">
        <v>43</v>
      </c>
      <c r="F66" t="s">
        <v>29</v>
      </c>
      <c r="G66">
        <v>43</v>
      </c>
      <c r="H66" t="s">
        <v>36</v>
      </c>
      <c r="I66" t="s">
        <v>23</v>
      </c>
      <c r="J66">
        <v>499</v>
      </c>
      <c r="K66" t="s">
        <v>75</v>
      </c>
      <c r="L66">
        <v>48</v>
      </c>
      <c r="M66" t="s">
        <v>31</v>
      </c>
      <c r="N66" t="s">
        <v>58</v>
      </c>
      <c r="O66">
        <v>2</v>
      </c>
      <c r="P66" t="s">
        <v>27</v>
      </c>
      <c r="Q66">
        <v>3</v>
      </c>
      <c r="R66">
        <v>499</v>
      </c>
    </row>
    <row r="67" spans="1:18" x14ac:dyDescent="0.3">
      <c r="A67" t="s">
        <v>126</v>
      </c>
      <c r="B67" s="1">
        <v>44717</v>
      </c>
      <c r="C67">
        <v>2022</v>
      </c>
      <c r="D67" t="s">
        <v>69</v>
      </c>
      <c r="E67" t="s">
        <v>52</v>
      </c>
      <c r="F67" t="s">
        <v>29</v>
      </c>
      <c r="G67">
        <v>34</v>
      </c>
      <c r="H67" t="s">
        <v>22</v>
      </c>
      <c r="I67" t="s">
        <v>23</v>
      </c>
      <c r="J67">
        <v>499</v>
      </c>
      <c r="K67" t="s">
        <v>40</v>
      </c>
      <c r="L67">
        <v>33</v>
      </c>
      <c r="M67" t="s">
        <v>31</v>
      </c>
      <c r="N67" t="s">
        <v>58</v>
      </c>
      <c r="O67">
        <v>46</v>
      </c>
      <c r="P67" t="s">
        <v>27</v>
      </c>
      <c r="Q67">
        <v>5</v>
      </c>
      <c r="R67">
        <v>499</v>
      </c>
    </row>
    <row r="68" spans="1:18" x14ac:dyDescent="0.3">
      <c r="A68" t="s">
        <v>127</v>
      </c>
      <c r="B68" s="1">
        <v>45248</v>
      </c>
      <c r="C68">
        <v>2023</v>
      </c>
      <c r="D68" t="s">
        <v>19</v>
      </c>
      <c r="E68" t="s">
        <v>35</v>
      </c>
      <c r="F68" t="s">
        <v>29</v>
      </c>
      <c r="G68">
        <v>54</v>
      </c>
      <c r="H68" t="s">
        <v>36</v>
      </c>
      <c r="I68" t="s">
        <v>37</v>
      </c>
      <c r="J68">
        <v>199</v>
      </c>
      <c r="K68" t="s">
        <v>49</v>
      </c>
      <c r="L68">
        <v>58</v>
      </c>
      <c r="M68" t="s">
        <v>45</v>
      </c>
      <c r="N68" t="s">
        <v>55</v>
      </c>
      <c r="O68">
        <v>34</v>
      </c>
      <c r="P68" t="s">
        <v>27</v>
      </c>
      <c r="Q68">
        <v>3</v>
      </c>
      <c r="R68">
        <v>199</v>
      </c>
    </row>
    <row r="69" spans="1:18" x14ac:dyDescent="0.3">
      <c r="A69" t="s">
        <v>128</v>
      </c>
      <c r="B69" s="1">
        <v>44797</v>
      </c>
      <c r="C69">
        <v>2022</v>
      </c>
      <c r="D69" t="s">
        <v>34</v>
      </c>
      <c r="E69" t="s">
        <v>52</v>
      </c>
      <c r="F69" t="s">
        <v>63</v>
      </c>
      <c r="G69">
        <v>39</v>
      </c>
      <c r="H69" t="s">
        <v>22</v>
      </c>
      <c r="I69" t="s">
        <v>23</v>
      </c>
      <c r="J69">
        <v>499</v>
      </c>
      <c r="K69" t="s">
        <v>67</v>
      </c>
      <c r="L69">
        <v>43</v>
      </c>
      <c r="M69" t="s">
        <v>45</v>
      </c>
      <c r="N69" t="s">
        <v>55</v>
      </c>
      <c r="O69">
        <v>6</v>
      </c>
      <c r="P69" t="s">
        <v>27</v>
      </c>
      <c r="Q69">
        <v>3</v>
      </c>
      <c r="R69">
        <v>499</v>
      </c>
    </row>
    <row r="70" spans="1:18" x14ac:dyDescent="0.3">
      <c r="A70" t="s">
        <v>129</v>
      </c>
      <c r="B70" s="1">
        <v>44626</v>
      </c>
      <c r="C70">
        <v>2022</v>
      </c>
      <c r="D70" t="s">
        <v>66</v>
      </c>
      <c r="E70" t="s">
        <v>43</v>
      </c>
      <c r="F70" t="s">
        <v>63</v>
      </c>
      <c r="G70">
        <v>43</v>
      </c>
      <c r="H70" t="s">
        <v>36</v>
      </c>
      <c r="I70" t="s">
        <v>37</v>
      </c>
      <c r="J70">
        <v>199</v>
      </c>
      <c r="K70" t="s">
        <v>30</v>
      </c>
      <c r="L70">
        <v>50</v>
      </c>
      <c r="M70" t="s">
        <v>45</v>
      </c>
      <c r="N70" t="s">
        <v>58</v>
      </c>
      <c r="O70">
        <v>39</v>
      </c>
      <c r="P70" t="s">
        <v>73</v>
      </c>
      <c r="Q70">
        <v>5</v>
      </c>
      <c r="R70">
        <v>0</v>
      </c>
    </row>
    <row r="71" spans="1:18" x14ac:dyDescent="0.3">
      <c r="A71" t="s">
        <v>130</v>
      </c>
      <c r="B71" s="1">
        <v>45234</v>
      </c>
      <c r="C71">
        <v>2023</v>
      </c>
      <c r="D71" t="s">
        <v>19</v>
      </c>
      <c r="E71" t="s">
        <v>20</v>
      </c>
      <c r="F71" t="s">
        <v>63</v>
      </c>
      <c r="G71">
        <v>21</v>
      </c>
      <c r="H71" t="s">
        <v>22</v>
      </c>
      <c r="I71" t="s">
        <v>23</v>
      </c>
      <c r="J71">
        <v>499</v>
      </c>
      <c r="K71" t="s">
        <v>30</v>
      </c>
      <c r="L71">
        <v>58</v>
      </c>
      <c r="M71" t="s">
        <v>31</v>
      </c>
      <c r="N71" t="s">
        <v>58</v>
      </c>
      <c r="O71">
        <v>11</v>
      </c>
      <c r="P71" t="s">
        <v>27</v>
      </c>
      <c r="Q71">
        <v>4</v>
      </c>
      <c r="R71">
        <v>499</v>
      </c>
    </row>
    <row r="72" spans="1:18" x14ac:dyDescent="0.3">
      <c r="A72" t="s">
        <v>131</v>
      </c>
      <c r="B72" s="1">
        <v>45130</v>
      </c>
      <c r="C72">
        <v>2023</v>
      </c>
      <c r="D72" t="s">
        <v>85</v>
      </c>
      <c r="E72" t="s">
        <v>20</v>
      </c>
      <c r="F72" t="s">
        <v>29</v>
      </c>
      <c r="G72">
        <v>28</v>
      </c>
      <c r="H72" t="s">
        <v>36</v>
      </c>
      <c r="I72" t="s">
        <v>23</v>
      </c>
      <c r="J72">
        <v>499</v>
      </c>
      <c r="K72" t="s">
        <v>75</v>
      </c>
      <c r="L72">
        <v>21</v>
      </c>
      <c r="M72" t="s">
        <v>31</v>
      </c>
      <c r="N72" t="s">
        <v>26</v>
      </c>
      <c r="O72">
        <v>2</v>
      </c>
      <c r="P72" t="s">
        <v>27</v>
      </c>
      <c r="Q72">
        <v>5</v>
      </c>
      <c r="R72">
        <v>499</v>
      </c>
    </row>
    <row r="73" spans="1:18" x14ac:dyDescent="0.3">
      <c r="A73" t="s">
        <v>132</v>
      </c>
      <c r="B73" s="1">
        <v>45593</v>
      </c>
      <c r="C73">
        <v>2024</v>
      </c>
      <c r="D73" t="s">
        <v>47</v>
      </c>
      <c r="E73" t="s">
        <v>35</v>
      </c>
      <c r="F73" t="s">
        <v>29</v>
      </c>
      <c r="G73">
        <v>21</v>
      </c>
      <c r="H73" t="s">
        <v>22</v>
      </c>
      <c r="I73" t="s">
        <v>48</v>
      </c>
      <c r="J73">
        <v>649</v>
      </c>
      <c r="K73" t="s">
        <v>53</v>
      </c>
      <c r="L73">
        <v>25</v>
      </c>
      <c r="M73" t="s">
        <v>31</v>
      </c>
      <c r="N73" t="s">
        <v>32</v>
      </c>
      <c r="O73">
        <v>12</v>
      </c>
      <c r="P73" t="s">
        <v>27</v>
      </c>
      <c r="Q73">
        <v>5</v>
      </c>
      <c r="R73">
        <v>649</v>
      </c>
    </row>
    <row r="74" spans="1:18" x14ac:dyDescent="0.3">
      <c r="A74" t="s">
        <v>133</v>
      </c>
      <c r="B74" s="1">
        <v>44580</v>
      </c>
      <c r="C74">
        <v>2022</v>
      </c>
      <c r="D74" t="s">
        <v>62</v>
      </c>
      <c r="E74" t="s">
        <v>52</v>
      </c>
      <c r="F74" t="s">
        <v>63</v>
      </c>
      <c r="G74">
        <v>48</v>
      </c>
      <c r="H74" t="s">
        <v>22</v>
      </c>
      <c r="I74" t="s">
        <v>37</v>
      </c>
      <c r="J74">
        <v>199</v>
      </c>
      <c r="K74" t="s">
        <v>75</v>
      </c>
      <c r="L74">
        <v>48</v>
      </c>
      <c r="M74" t="s">
        <v>41</v>
      </c>
      <c r="N74" t="s">
        <v>32</v>
      </c>
      <c r="O74">
        <v>18</v>
      </c>
      <c r="P74" t="s">
        <v>27</v>
      </c>
      <c r="Q74">
        <v>5</v>
      </c>
      <c r="R74">
        <v>199</v>
      </c>
    </row>
    <row r="75" spans="1:18" x14ac:dyDescent="0.3">
      <c r="A75" t="s">
        <v>134</v>
      </c>
      <c r="B75" s="1">
        <v>45184</v>
      </c>
      <c r="C75">
        <v>2023</v>
      </c>
      <c r="D75" t="s">
        <v>60</v>
      </c>
      <c r="E75" t="s">
        <v>43</v>
      </c>
      <c r="F75" t="s">
        <v>63</v>
      </c>
      <c r="G75">
        <v>53</v>
      </c>
      <c r="H75" t="s">
        <v>22</v>
      </c>
      <c r="I75" t="s">
        <v>23</v>
      </c>
      <c r="J75">
        <v>499</v>
      </c>
      <c r="K75" t="s">
        <v>40</v>
      </c>
      <c r="L75">
        <v>35</v>
      </c>
      <c r="M75" t="s">
        <v>25</v>
      </c>
      <c r="N75" t="s">
        <v>32</v>
      </c>
      <c r="O75">
        <v>4</v>
      </c>
      <c r="P75" t="s">
        <v>27</v>
      </c>
      <c r="Q75">
        <v>4</v>
      </c>
      <c r="R75">
        <v>499</v>
      </c>
    </row>
    <row r="76" spans="1:18" x14ac:dyDescent="0.3">
      <c r="A76" t="s">
        <v>135</v>
      </c>
      <c r="B76" s="1">
        <v>45505</v>
      </c>
      <c r="C76">
        <v>2024</v>
      </c>
      <c r="D76" t="s">
        <v>34</v>
      </c>
      <c r="E76" t="s">
        <v>43</v>
      </c>
      <c r="F76" t="s">
        <v>29</v>
      </c>
      <c r="G76">
        <v>21</v>
      </c>
      <c r="H76" t="s">
        <v>22</v>
      </c>
      <c r="I76" t="s">
        <v>23</v>
      </c>
      <c r="J76">
        <v>499</v>
      </c>
      <c r="K76" t="s">
        <v>24</v>
      </c>
      <c r="L76">
        <v>35</v>
      </c>
      <c r="M76" t="s">
        <v>45</v>
      </c>
      <c r="N76" t="s">
        <v>58</v>
      </c>
      <c r="O76">
        <v>24</v>
      </c>
      <c r="P76" t="s">
        <v>27</v>
      </c>
      <c r="Q76">
        <v>3</v>
      </c>
      <c r="R76">
        <v>499</v>
      </c>
    </row>
    <row r="77" spans="1:18" x14ac:dyDescent="0.3">
      <c r="A77" t="s">
        <v>136</v>
      </c>
      <c r="B77" s="1">
        <v>44960</v>
      </c>
      <c r="C77">
        <v>2023</v>
      </c>
      <c r="D77" t="s">
        <v>111</v>
      </c>
      <c r="E77" t="s">
        <v>52</v>
      </c>
      <c r="F77" t="s">
        <v>63</v>
      </c>
      <c r="G77">
        <v>21</v>
      </c>
      <c r="H77" t="s">
        <v>22</v>
      </c>
      <c r="I77" t="s">
        <v>23</v>
      </c>
      <c r="J77">
        <v>499</v>
      </c>
      <c r="K77" t="s">
        <v>40</v>
      </c>
      <c r="L77">
        <v>59</v>
      </c>
      <c r="M77" t="s">
        <v>25</v>
      </c>
      <c r="N77" t="s">
        <v>58</v>
      </c>
      <c r="O77">
        <v>12</v>
      </c>
      <c r="P77" t="s">
        <v>27</v>
      </c>
      <c r="Q77">
        <v>5</v>
      </c>
      <c r="R77">
        <v>499</v>
      </c>
    </row>
    <row r="78" spans="1:18" x14ac:dyDescent="0.3">
      <c r="A78" t="s">
        <v>137</v>
      </c>
      <c r="B78" s="1">
        <v>45369</v>
      </c>
      <c r="C78">
        <v>2024</v>
      </c>
      <c r="D78" t="s">
        <v>66</v>
      </c>
      <c r="E78" t="s">
        <v>35</v>
      </c>
      <c r="F78" t="s">
        <v>29</v>
      </c>
      <c r="G78">
        <v>29</v>
      </c>
      <c r="H78" t="s">
        <v>36</v>
      </c>
      <c r="I78" t="s">
        <v>23</v>
      </c>
      <c r="J78">
        <v>499</v>
      </c>
      <c r="K78" t="s">
        <v>49</v>
      </c>
      <c r="L78">
        <v>34</v>
      </c>
      <c r="M78" t="s">
        <v>41</v>
      </c>
      <c r="N78" t="s">
        <v>55</v>
      </c>
      <c r="O78">
        <v>12</v>
      </c>
      <c r="P78" t="s">
        <v>27</v>
      </c>
      <c r="Q78">
        <v>5</v>
      </c>
      <c r="R78">
        <v>499</v>
      </c>
    </row>
    <row r="79" spans="1:18" x14ac:dyDescent="0.3">
      <c r="A79" t="s">
        <v>138</v>
      </c>
      <c r="B79" s="1">
        <v>44796</v>
      </c>
      <c r="C79">
        <v>2022</v>
      </c>
      <c r="D79" t="s">
        <v>34</v>
      </c>
      <c r="E79" t="s">
        <v>35</v>
      </c>
      <c r="F79" t="s">
        <v>63</v>
      </c>
      <c r="G79">
        <v>48</v>
      </c>
      <c r="H79" t="s">
        <v>36</v>
      </c>
      <c r="I79" t="s">
        <v>37</v>
      </c>
      <c r="J79">
        <v>199</v>
      </c>
      <c r="K79" t="s">
        <v>57</v>
      </c>
      <c r="L79">
        <v>51</v>
      </c>
      <c r="M79" t="s">
        <v>45</v>
      </c>
      <c r="N79" t="s">
        <v>26</v>
      </c>
      <c r="O79">
        <v>11</v>
      </c>
      <c r="P79" t="s">
        <v>27</v>
      </c>
      <c r="Q79">
        <v>5</v>
      </c>
      <c r="R79">
        <v>199</v>
      </c>
    </row>
    <row r="80" spans="1:18" x14ac:dyDescent="0.3">
      <c r="A80" t="s">
        <v>139</v>
      </c>
      <c r="B80" s="1">
        <v>44665</v>
      </c>
      <c r="C80">
        <v>2022</v>
      </c>
      <c r="D80" t="s">
        <v>51</v>
      </c>
      <c r="E80" t="s">
        <v>20</v>
      </c>
      <c r="F80" t="s">
        <v>21</v>
      </c>
      <c r="G80">
        <v>52</v>
      </c>
      <c r="H80" t="s">
        <v>22</v>
      </c>
      <c r="I80" t="s">
        <v>37</v>
      </c>
      <c r="J80">
        <v>199</v>
      </c>
      <c r="K80" t="s">
        <v>49</v>
      </c>
      <c r="L80">
        <v>27</v>
      </c>
      <c r="M80" t="s">
        <v>45</v>
      </c>
      <c r="N80" t="s">
        <v>58</v>
      </c>
      <c r="O80">
        <v>12</v>
      </c>
      <c r="P80" t="s">
        <v>27</v>
      </c>
      <c r="Q80">
        <v>3</v>
      </c>
      <c r="R80">
        <v>199</v>
      </c>
    </row>
    <row r="81" spans="1:18" x14ac:dyDescent="0.3">
      <c r="A81" t="s">
        <v>140</v>
      </c>
      <c r="B81" s="1">
        <v>44765</v>
      </c>
      <c r="C81">
        <v>2022</v>
      </c>
      <c r="D81" t="s">
        <v>85</v>
      </c>
      <c r="E81" t="s">
        <v>52</v>
      </c>
      <c r="F81" t="s">
        <v>21</v>
      </c>
      <c r="G81">
        <v>50</v>
      </c>
      <c r="H81" t="s">
        <v>36</v>
      </c>
      <c r="I81" t="s">
        <v>23</v>
      </c>
      <c r="J81">
        <v>499</v>
      </c>
      <c r="K81" t="s">
        <v>57</v>
      </c>
      <c r="L81">
        <v>33</v>
      </c>
      <c r="M81" t="s">
        <v>41</v>
      </c>
      <c r="N81" t="s">
        <v>32</v>
      </c>
      <c r="O81">
        <v>31</v>
      </c>
      <c r="P81" t="s">
        <v>27</v>
      </c>
      <c r="Q81">
        <v>4</v>
      </c>
      <c r="R81">
        <v>499</v>
      </c>
    </row>
    <row r="82" spans="1:18" x14ac:dyDescent="0.3">
      <c r="A82" t="s">
        <v>141</v>
      </c>
      <c r="B82" s="1">
        <v>45689</v>
      </c>
      <c r="C82">
        <v>2025</v>
      </c>
      <c r="D82" t="s">
        <v>111</v>
      </c>
      <c r="E82" t="s">
        <v>35</v>
      </c>
      <c r="F82" t="s">
        <v>63</v>
      </c>
      <c r="G82">
        <v>40</v>
      </c>
      <c r="H82" t="s">
        <v>36</v>
      </c>
      <c r="I82" t="s">
        <v>48</v>
      </c>
      <c r="J82">
        <v>649</v>
      </c>
      <c r="K82" t="s">
        <v>49</v>
      </c>
      <c r="L82">
        <v>26</v>
      </c>
      <c r="M82" t="s">
        <v>31</v>
      </c>
      <c r="N82" t="s">
        <v>55</v>
      </c>
      <c r="O82">
        <v>24</v>
      </c>
      <c r="P82" t="s">
        <v>27</v>
      </c>
      <c r="Q82">
        <v>5</v>
      </c>
      <c r="R82">
        <v>649</v>
      </c>
    </row>
    <row r="83" spans="1:18" x14ac:dyDescent="0.3">
      <c r="A83" t="s">
        <v>142</v>
      </c>
      <c r="B83" s="1">
        <v>44926</v>
      </c>
      <c r="C83">
        <v>2022</v>
      </c>
      <c r="D83" t="s">
        <v>39</v>
      </c>
      <c r="E83" t="s">
        <v>43</v>
      </c>
      <c r="F83" t="s">
        <v>29</v>
      </c>
      <c r="G83">
        <v>38</v>
      </c>
      <c r="H83" t="s">
        <v>36</v>
      </c>
      <c r="I83" t="s">
        <v>48</v>
      </c>
      <c r="J83">
        <v>649</v>
      </c>
      <c r="K83" t="s">
        <v>30</v>
      </c>
      <c r="L83">
        <v>44</v>
      </c>
      <c r="M83" t="s">
        <v>31</v>
      </c>
      <c r="N83" t="s">
        <v>58</v>
      </c>
      <c r="O83">
        <v>2</v>
      </c>
      <c r="P83" t="s">
        <v>27</v>
      </c>
      <c r="Q83">
        <v>5</v>
      </c>
      <c r="R83">
        <v>649</v>
      </c>
    </row>
    <row r="84" spans="1:18" x14ac:dyDescent="0.3">
      <c r="A84" t="s">
        <v>143</v>
      </c>
      <c r="B84" s="1">
        <v>45911</v>
      </c>
      <c r="C84">
        <v>2025</v>
      </c>
      <c r="D84" t="s">
        <v>60</v>
      </c>
      <c r="E84" t="s">
        <v>52</v>
      </c>
      <c r="F84" t="s">
        <v>63</v>
      </c>
      <c r="G84">
        <v>38</v>
      </c>
      <c r="H84" t="s">
        <v>36</v>
      </c>
      <c r="I84" t="s">
        <v>37</v>
      </c>
      <c r="J84">
        <v>199</v>
      </c>
      <c r="K84" t="s">
        <v>75</v>
      </c>
      <c r="L84">
        <v>42</v>
      </c>
      <c r="M84" t="s">
        <v>45</v>
      </c>
      <c r="N84" t="s">
        <v>58</v>
      </c>
      <c r="O84">
        <v>44</v>
      </c>
      <c r="P84" t="s">
        <v>27</v>
      </c>
      <c r="Q84">
        <v>3</v>
      </c>
      <c r="R84">
        <v>199</v>
      </c>
    </row>
    <row r="85" spans="1:18" x14ac:dyDescent="0.3">
      <c r="A85" t="s">
        <v>144</v>
      </c>
      <c r="B85" s="1">
        <v>45120</v>
      </c>
      <c r="C85">
        <v>2023</v>
      </c>
      <c r="D85" t="s">
        <v>85</v>
      </c>
      <c r="E85" t="s">
        <v>52</v>
      </c>
      <c r="F85" t="s">
        <v>21</v>
      </c>
      <c r="G85">
        <v>25</v>
      </c>
      <c r="H85" t="s">
        <v>22</v>
      </c>
      <c r="I85" t="s">
        <v>23</v>
      </c>
      <c r="J85">
        <v>499</v>
      </c>
      <c r="K85" t="s">
        <v>49</v>
      </c>
      <c r="L85">
        <v>46</v>
      </c>
      <c r="M85" t="s">
        <v>25</v>
      </c>
      <c r="N85" t="s">
        <v>32</v>
      </c>
      <c r="O85">
        <v>20</v>
      </c>
      <c r="P85" t="s">
        <v>27</v>
      </c>
      <c r="Q85">
        <v>3</v>
      </c>
      <c r="R85">
        <v>499</v>
      </c>
    </row>
    <row r="86" spans="1:18" x14ac:dyDescent="0.3">
      <c r="A86" t="s">
        <v>145</v>
      </c>
      <c r="B86" s="1">
        <v>45208</v>
      </c>
      <c r="C86">
        <v>2023</v>
      </c>
      <c r="D86" t="s">
        <v>47</v>
      </c>
      <c r="E86" t="s">
        <v>20</v>
      </c>
      <c r="F86" t="s">
        <v>63</v>
      </c>
      <c r="G86">
        <v>23</v>
      </c>
      <c r="H86" t="s">
        <v>22</v>
      </c>
      <c r="I86" t="s">
        <v>37</v>
      </c>
      <c r="J86">
        <v>199</v>
      </c>
      <c r="K86" t="s">
        <v>53</v>
      </c>
      <c r="L86">
        <v>58</v>
      </c>
      <c r="M86" t="s">
        <v>31</v>
      </c>
      <c r="N86" t="s">
        <v>32</v>
      </c>
      <c r="O86">
        <v>33</v>
      </c>
      <c r="P86" t="s">
        <v>27</v>
      </c>
      <c r="Q86">
        <v>4</v>
      </c>
      <c r="R86">
        <v>199</v>
      </c>
    </row>
    <row r="87" spans="1:18" x14ac:dyDescent="0.3">
      <c r="A87" t="s">
        <v>146</v>
      </c>
      <c r="B87" s="1">
        <v>45246</v>
      </c>
      <c r="C87">
        <v>2023</v>
      </c>
      <c r="D87" t="s">
        <v>19</v>
      </c>
      <c r="E87" t="s">
        <v>43</v>
      </c>
      <c r="F87" t="s">
        <v>29</v>
      </c>
      <c r="G87">
        <v>41</v>
      </c>
      <c r="H87" t="s">
        <v>22</v>
      </c>
      <c r="I87" t="s">
        <v>37</v>
      </c>
      <c r="J87">
        <v>199</v>
      </c>
      <c r="K87" t="s">
        <v>49</v>
      </c>
      <c r="L87">
        <v>53</v>
      </c>
      <c r="M87" t="s">
        <v>31</v>
      </c>
      <c r="N87" t="s">
        <v>32</v>
      </c>
      <c r="O87">
        <v>9</v>
      </c>
      <c r="P87" t="s">
        <v>27</v>
      </c>
      <c r="Q87">
        <v>3</v>
      </c>
      <c r="R87">
        <v>199</v>
      </c>
    </row>
    <row r="88" spans="1:18" x14ac:dyDescent="0.3">
      <c r="A88" t="s">
        <v>147</v>
      </c>
      <c r="B88" s="1">
        <v>45701</v>
      </c>
      <c r="C88">
        <v>2025</v>
      </c>
      <c r="D88" t="s">
        <v>111</v>
      </c>
      <c r="E88" t="s">
        <v>20</v>
      </c>
      <c r="F88" t="s">
        <v>63</v>
      </c>
      <c r="G88">
        <v>46</v>
      </c>
      <c r="H88" t="s">
        <v>36</v>
      </c>
      <c r="I88" t="s">
        <v>48</v>
      </c>
      <c r="J88">
        <v>649</v>
      </c>
      <c r="K88" t="s">
        <v>24</v>
      </c>
      <c r="L88">
        <v>53</v>
      </c>
      <c r="M88" t="s">
        <v>41</v>
      </c>
      <c r="N88" t="s">
        <v>55</v>
      </c>
      <c r="O88">
        <v>34</v>
      </c>
      <c r="P88" t="s">
        <v>27</v>
      </c>
      <c r="Q88">
        <v>5</v>
      </c>
      <c r="R88">
        <v>649</v>
      </c>
    </row>
    <row r="89" spans="1:18" x14ac:dyDescent="0.3">
      <c r="A89" t="s">
        <v>148</v>
      </c>
      <c r="B89" s="1">
        <v>44831</v>
      </c>
      <c r="C89">
        <v>2022</v>
      </c>
      <c r="D89" t="s">
        <v>60</v>
      </c>
      <c r="E89" t="s">
        <v>43</v>
      </c>
      <c r="F89" t="s">
        <v>21</v>
      </c>
      <c r="G89">
        <v>29</v>
      </c>
      <c r="H89" t="s">
        <v>22</v>
      </c>
      <c r="I89" t="s">
        <v>23</v>
      </c>
      <c r="J89">
        <v>499</v>
      </c>
      <c r="K89" t="s">
        <v>30</v>
      </c>
      <c r="L89">
        <v>32</v>
      </c>
      <c r="M89" t="s">
        <v>25</v>
      </c>
      <c r="N89" t="s">
        <v>55</v>
      </c>
      <c r="O89">
        <v>17</v>
      </c>
      <c r="P89" t="s">
        <v>27</v>
      </c>
      <c r="Q89">
        <v>5</v>
      </c>
      <c r="R89">
        <v>499</v>
      </c>
    </row>
    <row r="90" spans="1:18" x14ac:dyDescent="0.3">
      <c r="A90" t="s">
        <v>149</v>
      </c>
      <c r="B90" s="1">
        <v>45218</v>
      </c>
      <c r="C90">
        <v>2023</v>
      </c>
      <c r="D90" t="s">
        <v>47</v>
      </c>
      <c r="E90" t="s">
        <v>52</v>
      </c>
      <c r="F90" t="s">
        <v>21</v>
      </c>
      <c r="G90">
        <v>30</v>
      </c>
      <c r="H90" t="s">
        <v>22</v>
      </c>
      <c r="I90" t="s">
        <v>48</v>
      </c>
      <c r="J90">
        <v>649</v>
      </c>
      <c r="K90" t="s">
        <v>67</v>
      </c>
      <c r="L90">
        <v>51</v>
      </c>
      <c r="M90" t="s">
        <v>45</v>
      </c>
      <c r="N90" t="s">
        <v>32</v>
      </c>
      <c r="O90">
        <v>25</v>
      </c>
      <c r="P90" t="s">
        <v>73</v>
      </c>
      <c r="Q90">
        <v>3</v>
      </c>
      <c r="R90">
        <v>0</v>
      </c>
    </row>
    <row r="91" spans="1:18" x14ac:dyDescent="0.3">
      <c r="A91" t="s">
        <v>150</v>
      </c>
      <c r="B91" s="1">
        <v>45500</v>
      </c>
      <c r="C91">
        <v>2024</v>
      </c>
      <c r="D91" t="s">
        <v>85</v>
      </c>
      <c r="E91" t="s">
        <v>35</v>
      </c>
      <c r="F91" t="s">
        <v>21</v>
      </c>
      <c r="G91">
        <v>41</v>
      </c>
      <c r="H91" t="s">
        <v>36</v>
      </c>
      <c r="I91" t="s">
        <v>48</v>
      </c>
      <c r="J91">
        <v>649</v>
      </c>
      <c r="K91" t="s">
        <v>57</v>
      </c>
      <c r="L91">
        <v>54</v>
      </c>
      <c r="M91" t="s">
        <v>31</v>
      </c>
      <c r="N91" t="s">
        <v>32</v>
      </c>
      <c r="O91">
        <v>47</v>
      </c>
      <c r="P91" t="s">
        <v>27</v>
      </c>
      <c r="Q91">
        <v>3</v>
      </c>
      <c r="R91">
        <v>649</v>
      </c>
    </row>
    <row r="92" spans="1:18" x14ac:dyDescent="0.3">
      <c r="A92" t="s">
        <v>151</v>
      </c>
      <c r="B92" s="1">
        <v>45715</v>
      </c>
      <c r="C92">
        <v>2025</v>
      </c>
      <c r="D92" t="s">
        <v>111</v>
      </c>
      <c r="E92" t="s">
        <v>35</v>
      </c>
      <c r="F92" t="s">
        <v>21</v>
      </c>
      <c r="G92">
        <v>48</v>
      </c>
      <c r="H92" t="s">
        <v>36</v>
      </c>
      <c r="I92" t="s">
        <v>23</v>
      </c>
      <c r="J92">
        <v>499</v>
      </c>
      <c r="K92" t="s">
        <v>67</v>
      </c>
      <c r="L92">
        <v>44</v>
      </c>
      <c r="M92" t="s">
        <v>41</v>
      </c>
      <c r="N92" t="s">
        <v>26</v>
      </c>
      <c r="O92">
        <v>20</v>
      </c>
      <c r="P92" t="s">
        <v>27</v>
      </c>
      <c r="Q92">
        <v>4</v>
      </c>
      <c r="R92">
        <v>499</v>
      </c>
    </row>
    <row r="93" spans="1:18" x14ac:dyDescent="0.3">
      <c r="A93" t="s">
        <v>152</v>
      </c>
      <c r="B93" s="1">
        <v>45538</v>
      </c>
      <c r="C93">
        <v>2024</v>
      </c>
      <c r="D93" t="s">
        <v>60</v>
      </c>
      <c r="E93" t="s">
        <v>52</v>
      </c>
      <c r="F93" t="s">
        <v>21</v>
      </c>
      <c r="G93">
        <v>55</v>
      </c>
      <c r="H93" t="s">
        <v>36</v>
      </c>
      <c r="I93" t="s">
        <v>23</v>
      </c>
      <c r="J93">
        <v>499</v>
      </c>
      <c r="K93" t="s">
        <v>49</v>
      </c>
      <c r="L93">
        <v>41</v>
      </c>
      <c r="M93" t="s">
        <v>25</v>
      </c>
      <c r="N93" t="s">
        <v>32</v>
      </c>
      <c r="O93">
        <v>45</v>
      </c>
      <c r="P93" t="s">
        <v>27</v>
      </c>
      <c r="Q93">
        <v>5</v>
      </c>
      <c r="R93">
        <v>499</v>
      </c>
    </row>
    <row r="94" spans="1:18" x14ac:dyDescent="0.3">
      <c r="A94" t="s">
        <v>153</v>
      </c>
      <c r="B94" s="1">
        <v>45109</v>
      </c>
      <c r="C94">
        <v>2023</v>
      </c>
      <c r="D94" t="s">
        <v>85</v>
      </c>
      <c r="E94" t="s">
        <v>20</v>
      </c>
      <c r="F94" t="s">
        <v>63</v>
      </c>
      <c r="G94">
        <v>51</v>
      </c>
      <c r="H94" t="s">
        <v>22</v>
      </c>
      <c r="I94" t="s">
        <v>37</v>
      </c>
      <c r="J94">
        <v>199</v>
      </c>
      <c r="K94" t="s">
        <v>40</v>
      </c>
      <c r="L94">
        <v>45</v>
      </c>
      <c r="M94" t="s">
        <v>25</v>
      </c>
      <c r="N94" t="s">
        <v>55</v>
      </c>
      <c r="O94">
        <v>35</v>
      </c>
      <c r="P94" t="s">
        <v>27</v>
      </c>
      <c r="Q94">
        <v>4</v>
      </c>
      <c r="R94">
        <v>199</v>
      </c>
    </row>
    <row r="95" spans="1:18" x14ac:dyDescent="0.3">
      <c r="A95" t="s">
        <v>154</v>
      </c>
      <c r="B95" s="1">
        <v>45580</v>
      </c>
      <c r="C95">
        <v>2024</v>
      </c>
      <c r="D95" t="s">
        <v>47</v>
      </c>
      <c r="E95" t="s">
        <v>52</v>
      </c>
      <c r="F95" t="s">
        <v>29</v>
      </c>
      <c r="G95">
        <v>37</v>
      </c>
      <c r="H95" t="s">
        <v>36</v>
      </c>
      <c r="I95" t="s">
        <v>23</v>
      </c>
      <c r="J95">
        <v>499</v>
      </c>
      <c r="K95" t="s">
        <v>30</v>
      </c>
      <c r="L95">
        <v>20</v>
      </c>
      <c r="M95" t="s">
        <v>45</v>
      </c>
      <c r="N95" t="s">
        <v>26</v>
      </c>
      <c r="O95">
        <v>40</v>
      </c>
      <c r="P95" t="s">
        <v>27</v>
      </c>
      <c r="Q95">
        <v>4</v>
      </c>
      <c r="R95">
        <v>499</v>
      </c>
    </row>
    <row r="96" spans="1:18" x14ac:dyDescent="0.3">
      <c r="A96" t="s">
        <v>155</v>
      </c>
      <c r="B96" s="1">
        <v>44933</v>
      </c>
      <c r="C96">
        <v>2023</v>
      </c>
      <c r="D96" t="s">
        <v>62</v>
      </c>
      <c r="E96" t="s">
        <v>43</v>
      </c>
      <c r="F96" t="s">
        <v>21</v>
      </c>
      <c r="G96">
        <v>54</v>
      </c>
      <c r="H96" t="s">
        <v>22</v>
      </c>
      <c r="I96" t="s">
        <v>48</v>
      </c>
      <c r="J96">
        <v>649</v>
      </c>
      <c r="K96" t="s">
        <v>44</v>
      </c>
      <c r="L96">
        <v>60</v>
      </c>
      <c r="M96" t="s">
        <v>41</v>
      </c>
      <c r="N96" t="s">
        <v>32</v>
      </c>
      <c r="O96">
        <v>32</v>
      </c>
      <c r="P96" t="s">
        <v>27</v>
      </c>
      <c r="Q96">
        <v>5</v>
      </c>
      <c r="R96">
        <v>649</v>
      </c>
    </row>
    <row r="97" spans="1:18" x14ac:dyDescent="0.3">
      <c r="A97" t="s">
        <v>156</v>
      </c>
      <c r="B97" s="1">
        <v>45594</v>
      </c>
      <c r="C97">
        <v>2024</v>
      </c>
      <c r="D97" t="s">
        <v>47</v>
      </c>
      <c r="E97" t="s">
        <v>20</v>
      </c>
      <c r="F97" t="s">
        <v>63</v>
      </c>
      <c r="G97">
        <v>46</v>
      </c>
      <c r="H97" t="s">
        <v>36</v>
      </c>
      <c r="I97" t="s">
        <v>48</v>
      </c>
      <c r="J97">
        <v>649</v>
      </c>
      <c r="K97" t="s">
        <v>30</v>
      </c>
      <c r="L97">
        <v>26</v>
      </c>
      <c r="M97" t="s">
        <v>31</v>
      </c>
      <c r="N97" t="s">
        <v>55</v>
      </c>
      <c r="O97">
        <v>22</v>
      </c>
      <c r="P97" t="s">
        <v>27</v>
      </c>
      <c r="Q97">
        <v>4</v>
      </c>
      <c r="R97">
        <v>649</v>
      </c>
    </row>
    <row r="98" spans="1:18" x14ac:dyDescent="0.3">
      <c r="A98" t="s">
        <v>157</v>
      </c>
      <c r="B98" s="1">
        <v>45320</v>
      </c>
      <c r="C98">
        <v>2024</v>
      </c>
      <c r="D98" t="s">
        <v>62</v>
      </c>
      <c r="E98" t="s">
        <v>35</v>
      </c>
      <c r="F98" t="s">
        <v>21</v>
      </c>
      <c r="G98">
        <v>48</v>
      </c>
      <c r="H98" t="s">
        <v>22</v>
      </c>
      <c r="I98" t="s">
        <v>23</v>
      </c>
      <c r="J98">
        <v>499</v>
      </c>
      <c r="K98" t="s">
        <v>30</v>
      </c>
      <c r="L98">
        <v>49</v>
      </c>
      <c r="M98" t="s">
        <v>45</v>
      </c>
      <c r="N98" t="s">
        <v>55</v>
      </c>
      <c r="O98">
        <v>37</v>
      </c>
      <c r="P98" t="s">
        <v>27</v>
      </c>
      <c r="Q98">
        <v>5</v>
      </c>
      <c r="R98">
        <v>499</v>
      </c>
    </row>
    <row r="99" spans="1:18" x14ac:dyDescent="0.3">
      <c r="A99" t="s">
        <v>158</v>
      </c>
      <c r="B99" s="1">
        <v>45321</v>
      </c>
      <c r="C99">
        <v>2024</v>
      </c>
      <c r="D99" t="s">
        <v>62</v>
      </c>
      <c r="E99" t="s">
        <v>20</v>
      </c>
      <c r="F99" t="s">
        <v>21</v>
      </c>
      <c r="G99">
        <v>53</v>
      </c>
      <c r="H99" t="s">
        <v>36</v>
      </c>
      <c r="I99" t="s">
        <v>37</v>
      </c>
      <c r="J99">
        <v>199</v>
      </c>
      <c r="K99" t="s">
        <v>24</v>
      </c>
      <c r="L99">
        <v>54</v>
      </c>
      <c r="M99" t="s">
        <v>45</v>
      </c>
      <c r="N99" t="s">
        <v>58</v>
      </c>
      <c r="O99">
        <v>18</v>
      </c>
      <c r="P99" t="s">
        <v>27</v>
      </c>
      <c r="Q99">
        <v>4</v>
      </c>
      <c r="R99">
        <v>199</v>
      </c>
    </row>
    <row r="100" spans="1:18" x14ac:dyDescent="0.3">
      <c r="A100" t="s">
        <v>159</v>
      </c>
      <c r="B100" s="1">
        <v>44589</v>
      </c>
      <c r="C100">
        <v>2022</v>
      </c>
      <c r="D100" t="s">
        <v>62</v>
      </c>
      <c r="E100" t="s">
        <v>20</v>
      </c>
      <c r="F100" t="s">
        <v>29</v>
      </c>
      <c r="G100">
        <v>32</v>
      </c>
      <c r="H100" t="s">
        <v>36</v>
      </c>
      <c r="I100" t="s">
        <v>23</v>
      </c>
      <c r="J100">
        <v>499</v>
      </c>
      <c r="K100" t="s">
        <v>44</v>
      </c>
      <c r="L100">
        <v>31</v>
      </c>
      <c r="M100" t="s">
        <v>31</v>
      </c>
      <c r="N100" t="s">
        <v>55</v>
      </c>
      <c r="O100">
        <v>6</v>
      </c>
      <c r="P100" t="s">
        <v>27</v>
      </c>
      <c r="Q100">
        <v>3</v>
      </c>
      <c r="R100">
        <v>499</v>
      </c>
    </row>
    <row r="101" spans="1:18" x14ac:dyDescent="0.3">
      <c r="A101" t="s">
        <v>160</v>
      </c>
      <c r="B101" s="1">
        <v>45410</v>
      </c>
      <c r="C101">
        <v>2024</v>
      </c>
      <c r="D101" t="s">
        <v>51</v>
      </c>
      <c r="E101" t="s">
        <v>43</v>
      </c>
      <c r="F101" t="s">
        <v>63</v>
      </c>
      <c r="G101">
        <v>46</v>
      </c>
      <c r="H101" t="s">
        <v>22</v>
      </c>
      <c r="I101" t="s">
        <v>37</v>
      </c>
      <c r="J101">
        <v>199</v>
      </c>
      <c r="K101" t="s">
        <v>44</v>
      </c>
      <c r="L101">
        <v>46</v>
      </c>
      <c r="M101" t="s">
        <v>25</v>
      </c>
      <c r="N101" t="s">
        <v>55</v>
      </c>
      <c r="O101">
        <v>28</v>
      </c>
      <c r="P101" t="s">
        <v>27</v>
      </c>
      <c r="Q101">
        <v>5</v>
      </c>
      <c r="R101">
        <v>199</v>
      </c>
    </row>
    <row r="102" spans="1:18" x14ac:dyDescent="0.3">
      <c r="A102" t="s">
        <v>161</v>
      </c>
      <c r="B102" s="1">
        <v>45611</v>
      </c>
      <c r="C102">
        <v>2024</v>
      </c>
      <c r="D102" t="s">
        <v>19</v>
      </c>
      <c r="E102" t="s">
        <v>52</v>
      </c>
      <c r="F102" t="s">
        <v>63</v>
      </c>
      <c r="G102">
        <v>29</v>
      </c>
      <c r="H102" t="s">
        <v>36</v>
      </c>
      <c r="I102" t="s">
        <v>37</v>
      </c>
      <c r="J102">
        <v>199</v>
      </c>
      <c r="K102" t="s">
        <v>57</v>
      </c>
      <c r="L102">
        <v>24</v>
      </c>
      <c r="M102" t="s">
        <v>41</v>
      </c>
      <c r="N102" t="s">
        <v>26</v>
      </c>
      <c r="O102">
        <v>41</v>
      </c>
      <c r="P102" t="s">
        <v>27</v>
      </c>
      <c r="Q102">
        <v>4</v>
      </c>
      <c r="R102">
        <v>199</v>
      </c>
    </row>
    <row r="103" spans="1:18" x14ac:dyDescent="0.3">
      <c r="A103" t="s">
        <v>162</v>
      </c>
      <c r="B103" s="1">
        <v>45457</v>
      </c>
      <c r="C103">
        <v>2024</v>
      </c>
      <c r="D103" t="s">
        <v>69</v>
      </c>
      <c r="E103" t="s">
        <v>43</v>
      </c>
      <c r="F103" t="s">
        <v>29</v>
      </c>
      <c r="G103">
        <v>40</v>
      </c>
      <c r="H103" t="s">
        <v>36</v>
      </c>
      <c r="I103" t="s">
        <v>37</v>
      </c>
      <c r="J103">
        <v>199</v>
      </c>
      <c r="K103" t="s">
        <v>30</v>
      </c>
      <c r="L103">
        <v>59</v>
      </c>
      <c r="M103" t="s">
        <v>45</v>
      </c>
      <c r="N103" t="s">
        <v>26</v>
      </c>
      <c r="O103">
        <v>31</v>
      </c>
      <c r="P103" t="s">
        <v>27</v>
      </c>
      <c r="Q103">
        <v>4</v>
      </c>
      <c r="R103">
        <v>199</v>
      </c>
    </row>
    <row r="104" spans="1:18" x14ac:dyDescent="0.3">
      <c r="A104" t="s">
        <v>163</v>
      </c>
      <c r="B104" s="1">
        <v>45110</v>
      </c>
      <c r="C104">
        <v>2023</v>
      </c>
      <c r="D104" t="s">
        <v>85</v>
      </c>
      <c r="E104" t="s">
        <v>52</v>
      </c>
      <c r="F104" t="s">
        <v>63</v>
      </c>
      <c r="G104">
        <v>42</v>
      </c>
      <c r="H104" t="s">
        <v>22</v>
      </c>
      <c r="I104" t="s">
        <v>48</v>
      </c>
      <c r="J104">
        <v>649</v>
      </c>
      <c r="K104" t="s">
        <v>75</v>
      </c>
      <c r="L104">
        <v>27</v>
      </c>
      <c r="M104" t="s">
        <v>31</v>
      </c>
      <c r="N104" t="s">
        <v>55</v>
      </c>
      <c r="O104">
        <v>23</v>
      </c>
      <c r="P104" t="s">
        <v>27</v>
      </c>
      <c r="Q104">
        <v>5</v>
      </c>
      <c r="R104">
        <v>649</v>
      </c>
    </row>
    <row r="105" spans="1:18" x14ac:dyDescent="0.3">
      <c r="A105" t="s">
        <v>164</v>
      </c>
      <c r="B105" s="1">
        <v>46016</v>
      </c>
      <c r="C105">
        <v>2025</v>
      </c>
      <c r="D105" t="s">
        <v>39</v>
      </c>
      <c r="E105" t="s">
        <v>20</v>
      </c>
      <c r="F105" t="s">
        <v>63</v>
      </c>
      <c r="G105">
        <v>22</v>
      </c>
      <c r="H105" t="s">
        <v>36</v>
      </c>
      <c r="I105" t="s">
        <v>23</v>
      </c>
      <c r="J105">
        <v>499</v>
      </c>
      <c r="K105" t="s">
        <v>67</v>
      </c>
      <c r="L105">
        <v>20</v>
      </c>
      <c r="M105" t="s">
        <v>41</v>
      </c>
      <c r="N105" t="s">
        <v>26</v>
      </c>
      <c r="O105">
        <v>14</v>
      </c>
      <c r="P105" t="s">
        <v>73</v>
      </c>
      <c r="Q105">
        <v>4</v>
      </c>
      <c r="R105">
        <v>0</v>
      </c>
    </row>
    <row r="106" spans="1:18" x14ac:dyDescent="0.3">
      <c r="A106" t="s">
        <v>165</v>
      </c>
      <c r="B106" s="1">
        <v>45905</v>
      </c>
      <c r="C106">
        <v>2025</v>
      </c>
      <c r="D106" t="s">
        <v>60</v>
      </c>
      <c r="E106" t="s">
        <v>20</v>
      </c>
      <c r="F106" t="s">
        <v>29</v>
      </c>
      <c r="G106">
        <v>25</v>
      </c>
      <c r="H106" t="s">
        <v>22</v>
      </c>
      <c r="I106" t="s">
        <v>48</v>
      </c>
      <c r="J106">
        <v>649</v>
      </c>
      <c r="K106" t="s">
        <v>40</v>
      </c>
      <c r="L106">
        <v>47</v>
      </c>
      <c r="M106" t="s">
        <v>31</v>
      </c>
      <c r="N106" t="s">
        <v>32</v>
      </c>
      <c r="O106">
        <v>23</v>
      </c>
      <c r="P106" t="s">
        <v>27</v>
      </c>
      <c r="Q106">
        <v>5</v>
      </c>
      <c r="R106">
        <v>649</v>
      </c>
    </row>
    <row r="107" spans="1:18" x14ac:dyDescent="0.3">
      <c r="A107" t="s">
        <v>166</v>
      </c>
      <c r="B107" s="1">
        <v>45108</v>
      </c>
      <c r="C107">
        <v>2023</v>
      </c>
      <c r="D107" t="s">
        <v>85</v>
      </c>
      <c r="E107" t="s">
        <v>20</v>
      </c>
      <c r="F107" t="s">
        <v>29</v>
      </c>
      <c r="G107">
        <v>39</v>
      </c>
      <c r="H107" t="s">
        <v>22</v>
      </c>
      <c r="I107" t="s">
        <v>37</v>
      </c>
      <c r="J107">
        <v>199</v>
      </c>
      <c r="K107" t="s">
        <v>75</v>
      </c>
      <c r="L107">
        <v>41</v>
      </c>
      <c r="M107" t="s">
        <v>45</v>
      </c>
      <c r="N107" t="s">
        <v>26</v>
      </c>
      <c r="O107">
        <v>22</v>
      </c>
      <c r="P107" t="s">
        <v>27</v>
      </c>
      <c r="Q107">
        <v>4</v>
      </c>
      <c r="R107">
        <v>199</v>
      </c>
    </row>
    <row r="108" spans="1:18" x14ac:dyDescent="0.3">
      <c r="A108" t="s">
        <v>167</v>
      </c>
      <c r="B108" s="1">
        <v>45833</v>
      </c>
      <c r="C108">
        <v>2025</v>
      </c>
      <c r="D108" t="s">
        <v>69</v>
      </c>
      <c r="E108" t="s">
        <v>43</v>
      </c>
      <c r="F108" t="s">
        <v>21</v>
      </c>
      <c r="G108">
        <v>40</v>
      </c>
      <c r="H108" t="s">
        <v>22</v>
      </c>
      <c r="I108" t="s">
        <v>48</v>
      </c>
      <c r="J108">
        <v>649</v>
      </c>
      <c r="K108" t="s">
        <v>49</v>
      </c>
      <c r="L108">
        <v>33</v>
      </c>
      <c r="M108" t="s">
        <v>25</v>
      </c>
      <c r="N108" t="s">
        <v>26</v>
      </c>
      <c r="O108">
        <v>47</v>
      </c>
      <c r="P108" t="s">
        <v>27</v>
      </c>
      <c r="Q108">
        <v>5</v>
      </c>
      <c r="R108">
        <v>649</v>
      </c>
    </row>
    <row r="109" spans="1:18" x14ac:dyDescent="0.3">
      <c r="A109" t="s">
        <v>168</v>
      </c>
      <c r="B109" s="1">
        <v>44633</v>
      </c>
      <c r="C109">
        <v>2022</v>
      </c>
      <c r="D109" t="s">
        <v>66</v>
      </c>
      <c r="E109" t="s">
        <v>52</v>
      </c>
      <c r="F109" t="s">
        <v>21</v>
      </c>
      <c r="G109">
        <v>42</v>
      </c>
      <c r="H109" t="s">
        <v>36</v>
      </c>
      <c r="I109" t="s">
        <v>23</v>
      </c>
      <c r="J109">
        <v>499</v>
      </c>
      <c r="K109" t="s">
        <v>44</v>
      </c>
      <c r="L109">
        <v>37</v>
      </c>
      <c r="M109" t="s">
        <v>31</v>
      </c>
      <c r="N109" t="s">
        <v>26</v>
      </c>
      <c r="O109">
        <v>27</v>
      </c>
      <c r="P109" t="s">
        <v>27</v>
      </c>
      <c r="Q109">
        <v>5</v>
      </c>
      <c r="R109">
        <v>499</v>
      </c>
    </row>
    <row r="110" spans="1:18" x14ac:dyDescent="0.3">
      <c r="A110" t="s">
        <v>169</v>
      </c>
      <c r="B110" s="1">
        <v>45197</v>
      </c>
      <c r="C110">
        <v>2023</v>
      </c>
      <c r="D110" t="s">
        <v>60</v>
      </c>
      <c r="E110" t="s">
        <v>43</v>
      </c>
      <c r="F110" t="s">
        <v>29</v>
      </c>
      <c r="G110">
        <v>34</v>
      </c>
      <c r="H110" t="s">
        <v>36</v>
      </c>
      <c r="I110" t="s">
        <v>37</v>
      </c>
      <c r="J110">
        <v>199</v>
      </c>
      <c r="K110" t="s">
        <v>40</v>
      </c>
      <c r="L110">
        <v>49</v>
      </c>
      <c r="M110" t="s">
        <v>25</v>
      </c>
      <c r="N110" t="s">
        <v>58</v>
      </c>
      <c r="O110">
        <v>5</v>
      </c>
      <c r="P110" t="s">
        <v>73</v>
      </c>
      <c r="Q110">
        <v>4</v>
      </c>
      <c r="R110">
        <v>0</v>
      </c>
    </row>
    <row r="111" spans="1:18" x14ac:dyDescent="0.3">
      <c r="A111" t="s">
        <v>170</v>
      </c>
      <c r="B111" s="1">
        <v>44977</v>
      </c>
      <c r="C111">
        <v>2023</v>
      </c>
      <c r="D111" t="s">
        <v>111</v>
      </c>
      <c r="E111" t="s">
        <v>52</v>
      </c>
      <c r="F111" t="s">
        <v>63</v>
      </c>
      <c r="G111">
        <v>48</v>
      </c>
      <c r="H111" t="s">
        <v>22</v>
      </c>
      <c r="I111" t="s">
        <v>48</v>
      </c>
      <c r="J111">
        <v>649</v>
      </c>
      <c r="K111" t="s">
        <v>30</v>
      </c>
      <c r="L111">
        <v>25</v>
      </c>
      <c r="M111" t="s">
        <v>31</v>
      </c>
      <c r="N111" t="s">
        <v>26</v>
      </c>
      <c r="O111">
        <v>14</v>
      </c>
      <c r="P111" t="s">
        <v>27</v>
      </c>
      <c r="Q111">
        <v>5</v>
      </c>
      <c r="R111">
        <v>649</v>
      </c>
    </row>
    <row r="112" spans="1:18" x14ac:dyDescent="0.3">
      <c r="A112" t="s">
        <v>171</v>
      </c>
      <c r="B112" s="1">
        <v>44843</v>
      </c>
      <c r="C112">
        <v>2022</v>
      </c>
      <c r="D112" t="s">
        <v>47</v>
      </c>
      <c r="E112" t="s">
        <v>35</v>
      </c>
      <c r="F112" t="s">
        <v>21</v>
      </c>
      <c r="G112">
        <v>36</v>
      </c>
      <c r="H112" t="s">
        <v>36</v>
      </c>
      <c r="I112" t="s">
        <v>23</v>
      </c>
      <c r="J112">
        <v>499</v>
      </c>
      <c r="K112" t="s">
        <v>57</v>
      </c>
      <c r="L112">
        <v>60</v>
      </c>
      <c r="M112" t="s">
        <v>45</v>
      </c>
      <c r="N112" t="s">
        <v>58</v>
      </c>
      <c r="O112">
        <v>35</v>
      </c>
      <c r="P112" t="s">
        <v>27</v>
      </c>
      <c r="Q112">
        <v>5</v>
      </c>
      <c r="R112">
        <v>499</v>
      </c>
    </row>
    <row r="113" spans="1:18" x14ac:dyDescent="0.3">
      <c r="A113" t="s">
        <v>172</v>
      </c>
      <c r="B113" s="1">
        <v>45801</v>
      </c>
      <c r="C113">
        <v>2025</v>
      </c>
      <c r="D113" t="s">
        <v>79</v>
      </c>
      <c r="E113" t="s">
        <v>52</v>
      </c>
      <c r="F113" t="s">
        <v>21</v>
      </c>
      <c r="G113">
        <v>49</v>
      </c>
      <c r="H113" t="s">
        <v>36</v>
      </c>
      <c r="I113" t="s">
        <v>23</v>
      </c>
      <c r="J113">
        <v>499</v>
      </c>
      <c r="K113" t="s">
        <v>49</v>
      </c>
      <c r="L113">
        <v>40</v>
      </c>
      <c r="M113" t="s">
        <v>41</v>
      </c>
      <c r="N113" t="s">
        <v>58</v>
      </c>
      <c r="O113">
        <v>1</v>
      </c>
      <c r="P113" t="s">
        <v>27</v>
      </c>
      <c r="Q113">
        <v>5</v>
      </c>
      <c r="R113">
        <v>499</v>
      </c>
    </row>
    <row r="114" spans="1:18" x14ac:dyDescent="0.3">
      <c r="A114" t="s">
        <v>173</v>
      </c>
      <c r="B114" s="1">
        <v>44875</v>
      </c>
      <c r="C114">
        <v>2022</v>
      </c>
      <c r="D114" t="s">
        <v>19</v>
      </c>
      <c r="E114" t="s">
        <v>35</v>
      </c>
      <c r="F114" t="s">
        <v>21</v>
      </c>
      <c r="G114">
        <v>40</v>
      </c>
      <c r="H114" t="s">
        <v>36</v>
      </c>
      <c r="I114" t="s">
        <v>48</v>
      </c>
      <c r="J114">
        <v>649</v>
      </c>
      <c r="K114" t="s">
        <v>24</v>
      </c>
      <c r="L114">
        <v>38</v>
      </c>
      <c r="M114" t="s">
        <v>31</v>
      </c>
      <c r="N114" t="s">
        <v>55</v>
      </c>
      <c r="O114">
        <v>1</v>
      </c>
      <c r="P114" t="s">
        <v>27</v>
      </c>
      <c r="Q114">
        <v>5</v>
      </c>
      <c r="R114">
        <v>649</v>
      </c>
    </row>
    <row r="115" spans="1:18" x14ac:dyDescent="0.3">
      <c r="A115" t="s">
        <v>174</v>
      </c>
      <c r="B115" s="1">
        <v>44796</v>
      </c>
      <c r="C115">
        <v>2022</v>
      </c>
      <c r="D115" t="s">
        <v>34</v>
      </c>
      <c r="E115" t="s">
        <v>35</v>
      </c>
      <c r="F115" t="s">
        <v>29</v>
      </c>
      <c r="G115">
        <v>36</v>
      </c>
      <c r="H115" t="s">
        <v>36</v>
      </c>
      <c r="I115" t="s">
        <v>37</v>
      </c>
      <c r="J115">
        <v>199</v>
      </c>
      <c r="K115" t="s">
        <v>53</v>
      </c>
      <c r="L115">
        <v>44</v>
      </c>
      <c r="M115" t="s">
        <v>25</v>
      </c>
      <c r="N115" t="s">
        <v>55</v>
      </c>
      <c r="O115">
        <v>27</v>
      </c>
      <c r="P115" t="s">
        <v>27</v>
      </c>
      <c r="Q115">
        <v>5</v>
      </c>
      <c r="R115">
        <v>199</v>
      </c>
    </row>
    <row r="116" spans="1:18" x14ac:dyDescent="0.3">
      <c r="A116" t="s">
        <v>175</v>
      </c>
      <c r="B116" s="1">
        <v>45765</v>
      </c>
      <c r="C116">
        <v>2025</v>
      </c>
      <c r="D116" t="s">
        <v>51</v>
      </c>
      <c r="E116" t="s">
        <v>43</v>
      </c>
      <c r="F116" t="s">
        <v>21</v>
      </c>
      <c r="G116">
        <v>38</v>
      </c>
      <c r="H116" t="s">
        <v>36</v>
      </c>
      <c r="I116" t="s">
        <v>23</v>
      </c>
      <c r="J116">
        <v>499</v>
      </c>
      <c r="K116" t="s">
        <v>67</v>
      </c>
      <c r="L116">
        <v>59</v>
      </c>
      <c r="M116" t="s">
        <v>31</v>
      </c>
      <c r="N116" t="s">
        <v>32</v>
      </c>
      <c r="O116">
        <v>17</v>
      </c>
      <c r="P116" t="s">
        <v>27</v>
      </c>
      <c r="Q116">
        <v>3</v>
      </c>
      <c r="R116">
        <v>499</v>
      </c>
    </row>
    <row r="117" spans="1:18" x14ac:dyDescent="0.3">
      <c r="A117" t="s">
        <v>176</v>
      </c>
      <c r="B117" s="1">
        <v>45128</v>
      </c>
      <c r="C117">
        <v>2023</v>
      </c>
      <c r="D117" t="s">
        <v>85</v>
      </c>
      <c r="E117" t="s">
        <v>52</v>
      </c>
      <c r="F117" t="s">
        <v>63</v>
      </c>
      <c r="G117">
        <v>30</v>
      </c>
      <c r="H117" t="s">
        <v>36</v>
      </c>
      <c r="I117" t="s">
        <v>37</v>
      </c>
      <c r="J117">
        <v>199</v>
      </c>
      <c r="K117" t="s">
        <v>30</v>
      </c>
      <c r="L117">
        <v>38</v>
      </c>
      <c r="M117" t="s">
        <v>31</v>
      </c>
      <c r="N117" t="s">
        <v>58</v>
      </c>
      <c r="O117">
        <v>4</v>
      </c>
      <c r="P117" t="s">
        <v>27</v>
      </c>
      <c r="Q117">
        <v>5</v>
      </c>
      <c r="R117">
        <v>199</v>
      </c>
    </row>
    <row r="118" spans="1:18" x14ac:dyDescent="0.3">
      <c r="A118" t="s">
        <v>177</v>
      </c>
      <c r="B118" s="1">
        <v>44600</v>
      </c>
      <c r="C118">
        <v>2022</v>
      </c>
      <c r="D118" t="s">
        <v>111</v>
      </c>
      <c r="E118" t="s">
        <v>43</v>
      </c>
      <c r="F118" t="s">
        <v>29</v>
      </c>
      <c r="G118">
        <v>51</v>
      </c>
      <c r="H118" t="s">
        <v>22</v>
      </c>
      <c r="I118" t="s">
        <v>37</v>
      </c>
      <c r="J118">
        <v>199</v>
      </c>
      <c r="K118" t="s">
        <v>40</v>
      </c>
      <c r="L118">
        <v>53</v>
      </c>
      <c r="M118" t="s">
        <v>25</v>
      </c>
      <c r="N118" t="s">
        <v>32</v>
      </c>
      <c r="O118">
        <v>12</v>
      </c>
      <c r="P118" t="s">
        <v>27</v>
      </c>
      <c r="Q118">
        <v>5</v>
      </c>
      <c r="R118">
        <v>199</v>
      </c>
    </row>
    <row r="119" spans="1:18" x14ac:dyDescent="0.3">
      <c r="A119" t="s">
        <v>178</v>
      </c>
      <c r="B119" s="1">
        <v>45173</v>
      </c>
      <c r="C119">
        <v>2023</v>
      </c>
      <c r="D119" t="s">
        <v>60</v>
      </c>
      <c r="E119" t="s">
        <v>43</v>
      </c>
      <c r="F119" t="s">
        <v>63</v>
      </c>
      <c r="G119">
        <v>24</v>
      </c>
      <c r="H119" t="s">
        <v>22</v>
      </c>
      <c r="I119" t="s">
        <v>23</v>
      </c>
      <c r="J119">
        <v>499</v>
      </c>
      <c r="K119" t="s">
        <v>67</v>
      </c>
      <c r="L119">
        <v>40</v>
      </c>
      <c r="M119" t="s">
        <v>31</v>
      </c>
      <c r="N119" t="s">
        <v>55</v>
      </c>
      <c r="O119">
        <v>35</v>
      </c>
      <c r="P119" t="s">
        <v>27</v>
      </c>
      <c r="Q119">
        <v>5</v>
      </c>
      <c r="R119">
        <v>499</v>
      </c>
    </row>
    <row r="120" spans="1:18" x14ac:dyDescent="0.3">
      <c r="A120" t="s">
        <v>179</v>
      </c>
      <c r="B120" s="1">
        <v>45413</v>
      </c>
      <c r="C120">
        <v>2024</v>
      </c>
      <c r="D120" t="s">
        <v>79</v>
      </c>
      <c r="E120" t="s">
        <v>20</v>
      </c>
      <c r="F120" t="s">
        <v>21</v>
      </c>
      <c r="G120">
        <v>37</v>
      </c>
      <c r="H120" t="s">
        <v>22</v>
      </c>
      <c r="I120" t="s">
        <v>37</v>
      </c>
      <c r="J120">
        <v>199</v>
      </c>
      <c r="K120" t="s">
        <v>40</v>
      </c>
      <c r="L120">
        <v>59</v>
      </c>
      <c r="M120" t="s">
        <v>45</v>
      </c>
      <c r="N120" t="s">
        <v>58</v>
      </c>
      <c r="O120">
        <v>7</v>
      </c>
      <c r="P120" t="s">
        <v>73</v>
      </c>
      <c r="Q120">
        <v>4</v>
      </c>
      <c r="R120">
        <v>0</v>
      </c>
    </row>
    <row r="121" spans="1:18" x14ac:dyDescent="0.3">
      <c r="A121" t="s">
        <v>180</v>
      </c>
      <c r="B121" s="1">
        <v>45943</v>
      </c>
      <c r="C121">
        <v>2025</v>
      </c>
      <c r="D121" t="s">
        <v>47</v>
      </c>
      <c r="E121" t="s">
        <v>20</v>
      </c>
      <c r="F121" t="s">
        <v>21</v>
      </c>
      <c r="G121">
        <v>24</v>
      </c>
      <c r="H121" t="s">
        <v>36</v>
      </c>
      <c r="I121" t="s">
        <v>48</v>
      </c>
      <c r="J121">
        <v>649</v>
      </c>
      <c r="K121" t="s">
        <v>67</v>
      </c>
      <c r="L121">
        <v>30</v>
      </c>
      <c r="M121" t="s">
        <v>45</v>
      </c>
      <c r="N121" t="s">
        <v>55</v>
      </c>
      <c r="O121">
        <v>12</v>
      </c>
      <c r="P121" t="s">
        <v>27</v>
      </c>
      <c r="Q121">
        <v>3</v>
      </c>
      <c r="R121">
        <v>649</v>
      </c>
    </row>
    <row r="122" spans="1:18" x14ac:dyDescent="0.3">
      <c r="A122" t="s">
        <v>181</v>
      </c>
      <c r="B122" s="1">
        <v>44794</v>
      </c>
      <c r="C122">
        <v>2022</v>
      </c>
      <c r="D122" t="s">
        <v>34</v>
      </c>
      <c r="E122" t="s">
        <v>35</v>
      </c>
      <c r="F122" t="s">
        <v>21</v>
      </c>
      <c r="G122">
        <v>18</v>
      </c>
      <c r="H122" t="s">
        <v>36</v>
      </c>
      <c r="I122" t="s">
        <v>48</v>
      </c>
      <c r="J122">
        <v>649</v>
      </c>
      <c r="K122" t="s">
        <v>24</v>
      </c>
      <c r="L122">
        <v>37</v>
      </c>
      <c r="M122" t="s">
        <v>45</v>
      </c>
      <c r="N122" t="s">
        <v>32</v>
      </c>
      <c r="O122">
        <v>4</v>
      </c>
      <c r="P122" t="s">
        <v>27</v>
      </c>
      <c r="Q122">
        <v>5</v>
      </c>
      <c r="R122">
        <v>649</v>
      </c>
    </row>
    <row r="123" spans="1:18" x14ac:dyDescent="0.3">
      <c r="A123" t="s">
        <v>182</v>
      </c>
      <c r="B123" s="1">
        <v>44735</v>
      </c>
      <c r="C123">
        <v>2022</v>
      </c>
      <c r="D123" t="s">
        <v>69</v>
      </c>
      <c r="E123" t="s">
        <v>35</v>
      </c>
      <c r="F123" t="s">
        <v>63</v>
      </c>
      <c r="G123">
        <v>29</v>
      </c>
      <c r="H123" t="s">
        <v>22</v>
      </c>
      <c r="I123" t="s">
        <v>37</v>
      </c>
      <c r="J123">
        <v>199</v>
      </c>
      <c r="K123" t="s">
        <v>30</v>
      </c>
      <c r="L123">
        <v>52</v>
      </c>
      <c r="M123" t="s">
        <v>41</v>
      </c>
      <c r="N123" t="s">
        <v>32</v>
      </c>
      <c r="O123">
        <v>32</v>
      </c>
      <c r="P123" t="s">
        <v>27</v>
      </c>
      <c r="Q123">
        <v>5</v>
      </c>
      <c r="R123">
        <v>199</v>
      </c>
    </row>
    <row r="124" spans="1:18" x14ac:dyDescent="0.3">
      <c r="A124" t="s">
        <v>183</v>
      </c>
      <c r="B124" s="1">
        <v>45560</v>
      </c>
      <c r="C124">
        <v>2024</v>
      </c>
      <c r="D124" t="s">
        <v>60</v>
      </c>
      <c r="E124" t="s">
        <v>35</v>
      </c>
      <c r="F124" t="s">
        <v>63</v>
      </c>
      <c r="G124">
        <v>34</v>
      </c>
      <c r="H124" t="s">
        <v>36</v>
      </c>
      <c r="I124" t="s">
        <v>48</v>
      </c>
      <c r="J124">
        <v>649</v>
      </c>
      <c r="K124" t="s">
        <v>53</v>
      </c>
      <c r="L124">
        <v>24</v>
      </c>
      <c r="M124" t="s">
        <v>25</v>
      </c>
      <c r="N124" t="s">
        <v>26</v>
      </c>
      <c r="O124">
        <v>36</v>
      </c>
      <c r="P124" t="s">
        <v>27</v>
      </c>
      <c r="Q124">
        <v>3</v>
      </c>
      <c r="R124">
        <v>649</v>
      </c>
    </row>
    <row r="125" spans="1:18" x14ac:dyDescent="0.3">
      <c r="A125" t="s">
        <v>184</v>
      </c>
      <c r="B125" s="1">
        <v>45332</v>
      </c>
      <c r="C125">
        <v>2024</v>
      </c>
      <c r="D125" t="s">
        <v>111</v>
      </c>
      <c r="E125" t="s">
        <v>52</v>
      </c>
      <c r="F125" t="s">
        <v>21</v>
      </c>
      <c r="G125">
        <v>30</v>
      </c>
      <c r="H125" t="s">
        <v>36</v>
      </c>
      <c r="I125" t="s">
        <v>23</v>
      </c>
      <c r="J125">
        <v>499</v>
      </c>
      <c r="K125" t="s">
        <v>57</v>
      </c>
      <c r="L125">
        <v>52</v>
      </c>
      <c r="M125" t="s">
        <v>41</v>
      </c>
      <c r="N125" t="s">
        <v>58</v>
      </c>
      <c r="O125">
        <v>41</v>
      </c>
      <c r="P125" t="s">
        <v>27</v>
      </c>
      <c r="Q125">
        <v>5</v>
      </c>
      <c r="R125">
        <v>499</v>
      </c>
    </row>
    <row r="126" spans="1:18" x14ac:dyDescent="0.3">
      <c r="A126" t="s">
        <v>185</v>
      </c>
      <c r="B126" s="1">
        <v>45606</v>
      </c>
      <c r="C126">
        <v>2024</v>
      </c>
      <c r="D126" t="s">
        <v>19</v>
      </c>
      <c r="E126" t="s">
        <v>52</v>
      </c>
      <c r="F126" t="s">
        <v>63</v>
      </c>
      <c r="G126">
        <v>19</v>
      </c>
      <c r="H126" t="s">
        <v>36</v>
      </c>
      <c r="I126" t="s">
        <v>23</v>
      </c>
      <c r="J126">
        <v>499</v>
      </c>
      <c r="K126" t="s">
        <v>75</v>
      </c>
      <c r="L126">
        <v>40</v>
      </c>
      <c r="M126" t="s">
        <v>45</v>
      </c>
      <c r="N126" t="s">
        <v>58</v>
      </c>
      <c r="O126">
        <v>40</v>
      </c>
      <c r="P126" t="s">
        <v>27</v>
      </c>
      <c r="Q126">
        <v>4</v>
      </c>
      <c r="R126">
        <v>499</v>
      </c>
    </row>
    <row r="127" spans="1:18" x14ac:dyDescent="0.3">
      <c r="A127" t="s">
        <v>186</v>
      </c>
      <c r="B127" s="1">
        <v>44709</v>
      </c>
      <c r="C127">
        <v>2022</v>
      </c>
      <c r="D127" t="s">
        <v>79</v>
      </c>
      <c r="E127" t="s">
        <v>20</v>
      </c>
      <c r="F127" t="s">
        <v>63</v>
      </c>
      <c r="G127">
        <v>30</v>
      </c>
      <c r="H127" t="s">
        <v>36</v>
      </c>
      <c r="I127" t="s">
        <v>48</v>
      </c>
      <c r="J127">
        <v>649</v>
      </c>
      <c r="K127" t="s">
        <v>49</v>
      </c>
      <c r="L127">
        <v>53</v>
      </c>
      <c r="M127" t="s">
        <v>45</v>
      </c>
      <c r="N127" t="s">
        <v>32</v>
      </c>
      <c r="O127">
        <v>13</v>
      </c>
      <c r="P127" t="s">
        <v>73</v>
      </c>
      <c r="Q127">
        <v>3</v>
      </c>
      <c r="R127">
        <v>0</v>
      </c>
    </row>
    <row r="128" spans="1:18" x14ac:dyDescent="0.3">
      <c r="A128" t="s">
        <v>187</v>
      </c>
      <c r="B128" s="1">
        <v>46002</v>
      </c>
      <c r="C128">
        <v>2025</v>
      </c>
      <c r="D128" t="s">
        <v>39</v>
      </c>
      <c r="E128" t="s">
        <v>43</v>
      </c>
      <c r="F128" t="s">
        <v>63</v>
      </c>
      <c r="G128">
        <v>23</v>
      </c>
      <c r="H128" t="s">
        <v>36</v>
      </c>
      <c r="I128" t="s">
        <v>48</v>
      </c>
      <c r="J128">
        <v>649</v>
      </c>
      <c r="K128" t="s">
        <v>40</v>
      </c>
      <c r="L128">
        <v>42</v>
      </c>
      <c r="M128" t="s">
        <v>31</v>
      </c>
      <c r="N128" t="s">
        <v>32</v>
      </c>
      <c r="O128">
        <v>35</v>
      </c>
      <c r="P128" t="s">
        <v>27</v>
      </c>
      <c r="Q128">
        <v>4</v>
      </c>
      <c r="R128">
        <v>649</v>
      </c>
    </row>
    <row r="129" spans="1:18" x14ac:dyDescent="0.3">
      <c r="A129" t="s">
        <v>188</v>
      </c>
      <c r="B129" s="1">
        <v>44588</v>
      </c>
      <c r="C129">
        <v>2022</v>
      </c>
      <c r="D129" t="s">
        <v>62</v>
      </c>
      <c r="E129" t="s">
        <v>43</v>
      </c>
      <c r="F129" t="s">
        <v>29</v>
      </c>
      <c r="G129">
        <v>37</v>
      </c>
      <c r="H129" t="s">
        <v>22</v>
      </c>
      <c r="I129" t="s">
        <v>48</v>
      </c>
      <c r="J129">
        <v>649</v>
      </c>
      <c r="K129" t="s">
        <v>49</v>
      </c>
      <c r="L129">
        <v>58</v>
      </c>
      <c r="M129" t="s">
        <v>25</v>
      </c>
      <c r="N129" t="s">
        <v>58</v>
      </c>
      <c r="O129">
        <v>12</v>
      </c>
      <c r="P129" t="s">
        <v>27</v>
      </c>
      <c r="Q129">
        <v>5</v>
      </c>
      <c r="R129">
        <v>649</v>
      </c>
    </row>
    <row r="130" spans="1:18" x14ac:dyDescent="0.3">
      <c r="A130" t="s">
        <v>189</v>
      </c>
      <c r="B130" s="1">
        <v>45562</v>
      </c>
      <c r="C130">
        <v>2024</v>
      </c>
      <c r="D130" t="s">
        <v>60</v>
      </c>
      <c r="E130" t="s">
        <v>43</v>
      </c>
      <c r="F130" t="s">
        <v>21</v>
      </c>
      <c r="G130">
        <v>38</v>
      </c>
      <c r="H130" t="s">
        <v>36</v>
      </c>
      <c r="I130" t="s">
        <v>37</v>
      </c>
      <c r="J130">
        <v>199</v>
      </c>
      <c r="K130" t="s">
        <v>40</v>
      </c>
      <c r="L130">
        <v>55</v>
      </c>
      <c r="M130" t="s">
        <v>25</v>
      </c>
      <c r="N130" t="s">
        <v>26</v>
      </c>
      <c r="O130">
        <v>41</v>
      </c>
      <c r="P130" t="s">
        <v>27</v>
      </c>
      <c r="Q130">
        <v>4</v>
      </c>
      <c r="R130">
        <v>199</v>
      </c>
    </row>
    <row r="131" spans="1:18" x14ac:dyDescent="0.3">
      <c r="A131" t="s">
        <v>190</v>
      </c>
      <c r="B131" s="1">
        <v>46002</v>
      </c>
      <c r="C131">
        <v>2025</v>
      </c>
      <c r="D131" t="s">
        <v>39</v>
      </c>
      <c r="E131" t="s">
        <v>52</v>
      </c>
      <c r="F131" t="s">
        <v>29</v>
      </c>
      <c r="G131">
        <v>26</v>
      </c>
      <c r="H131" t="s">
        <v>36</v>
      </c>
      <c r="I131" t="s">
        <v>23</v>
      </c>
      <c r="J131">
        <v>499</v>
      </c>
      <c r="K131" t="s">
        <v>24</v>
      </c>
      <c r="L131">
        <v>46</v>
      </c>
      <c r="M131" t="s">
        <v>31</v>
      </c>
      <c r="N131" t="s">
        <v>55</v>
      </c>
      <c r="O131">
        <v>19</v>
      </c>
      <c r="P131" t="s">
        <v>27</v>
      </c>
      <c r="Q131">
        <v>3</v>
      </c>
      <c r="R131">
        <v>499</v>
      </c>
    </row>
    <row r="132" spans="1:18" x14ac:dyDescent="0.3">
      <c r="A132" t="s">
        <v>191</v>
      </c>
      <c r="B132" s="1">
        <v>44922</v>
      </c>
      <c r="C132">
        <v>2022</v>
      </c>
      <c r="D132" t="s">
        <v>39</v>
      </c>
      <c r="E132" t="s">
        <v>52</v>
      </c>
      <c r="F132" t="s">
        <v>29</v>
      </c>
      <c r="G132">
        <v>42</v>
      </c>
      <c r="H132" t="s">
        <v>22</v>
      </c>
      <c r="I132" t="s">
        <v>23</v>
      </c>
      <c r="J132">
        <v>499</v>
      </c>
      <c r="K132" t="s">
        <v>40</v>
      </c>
      <c r="L132">
        <v>27</v>
      </c>
      <c r="M132" t="s">
        <v>31</v>
      </c>
      <c r="N132" t="s">
        <v>58</v>
      </c>
      <c r="O132">
        <v>32</v>
      </c>
      <c r="P132" t="s">
        <v>27</v>
      </c>
      <c r="Q132">
        <v>3</v>
      </c>
      <c r="R132">
        <v>499</v>
      </c>
    </row>
    <row r="133" spans="1:18" x14ac:dyDescent="0.3">
      <c r="A133" t="s">
        <v>192</v>
      </c>
      <c r="B133" s="1">
        <v>45305</v>
      </c>
      <c r="C133">
        <v>2024</v>
      </c>
      <c r="D133" t="s">
        <v>62</v>
      </c>
      <c r="E133" t="s">
        <v>52</v>
      </c>
      <c r="F133" t="s">
        <v>29</v>
      </c>
      <c r="G133">
        <v>33</v>
      </c>
      <c r="H133" t="s">
        <v>22</v>
      </c>
      <c r="I133" t="s">
        <v>37</v>
      </c>
      <c r="J133">
        <v>199</v>
      </c>
      <c r="K133" t="s">
        <v>53</v>
      </c>
      <c r="L133">
        <v>25</v>
      </c>
      <c r="M133" t="s">
        <v>45</v>
      </c>
      <c r="N133" t="s">
        <v>32</v>
      </c>
      <c r="O133">
        <v>36</v>
      </c>
      <c r="P133" t="s">
        <v>27</v>
      </c>
      <c r="Q133">
        <v>5</v>
      </c>
      <c r="R133">
        <v>199</v>
      </c>
    </row>
    <row r="134" spans="1:18" x14ac:dyDescent="0.3">
      <c r="A134" t="s">
        <v>193</v>
      </c>
      <c r="B134" s="1">
        <v>45829</v>
      </c>
      <c r="C134">
        <v>2025</v>
      </c>
      <c r="D134" t="s">
        <v>69</v>
      </c>
      <c r="E134" t="s">
        <v>52</v>
      </c>
      <c r="F134" t="s">
        <v>29</v>
      </c>
      <c r="G134">
        <v>55</v>
      </c>
      <c r="H134" t="s">
        <v>22</v>
      </c>
      <c r="I134" t="s">
        <v>23</v>
      </c>
      <c r="J134">
        <v>499</v>
      </c>
      <c r="K134" t="s">
        <v>40</v>
      </c>
      <c r="L134">
        <v>54</v>
      </c>
      <c r="M134" t="s">
        <v>25</v>
      </c>
      <c r="N134" t="s">
        <v>58</v>
      </c>
      <c r="O134">
        <v>34</v>
      </c>
      <c r="P134" t="s">
        <v>27</v>
      </c>
      <c r="Q134">
        <v>4</v>
      </c>
      <c r="R134">
        <v>499</v>
      </c>
    </row>
    <row r="135" spans="1:18" x14ac:dyDescent="0.3">
      <c r="A135" t="s">
        <v>194</v>
      </c>
      <c r="B135" s="1">
        <v>45584</v>
      </c>
      <c r="C135">
        <v>2024</v>
      </c>
      <c r="D135" t="s">
        <v>47</v>
      </c>
      <c r="E135" t="s">
        <v>20</v>
      </c>
      <c r="F135" t="s">
        <v>29</v>
      </c>
      <c r="G135">
        <v>39</v>
      </c>
      <c r="H135" t="s">
        <v>36</v>
      </c>
      <c r="I135" t="s">
        <v>48</v>
      </c>
      <c r="J135">
        <v>649</v>
      </c>
      <c r="K135" t="s">
        <v>75</v>
      </c>
      <c r="L135">
        <v>41</v>
      </c>
      <c r="M135" t="s">
        <v>31</v>
      </c>
      <c r="N135" t="s">
        <v>32</v>
      </c>
      <c r="O135">
        <v>22</v>
      </c>
      <c r="P135" t="s">
        <v>27</v>
      </c>
      <c r="Q135">
        <v>3</v>
      </c>
      <c r="R135">
        <v>649</v>
      </c>
    </row>
    <row r="136" spans="1:18" x14ac:dyDescent="0.3">
      <c r="A136" t="s">
        <v>195</v>
      </c>
      <c r="B136" s="1">
        <v>45347</v>
      </c>
      <c r="C136">
        <v>2024</v>
      </c>
      <c r="D136" t="s">
        <v>111</v>
      </c>
      <c r="E136" t="s">
        <v>52</v>
      </c>
      <c r="F136" t="s">
        <v>21</v>
      </c>
      <c r="G136">
        <v>40</v>
      </c>
      <c r="H136" t="s">
        <v>22</v>
      </c>
      <c r="I136" t="s">
        <v>23</v>
      </c>
      <c r="J136">
        <v>499</v>
      </c>
      <c r="K136" t="s">
        <v>30</v>
      </c>
      <c r="L136">
        <v>45</v>
      </c>
      <c r="M136" t="s">
        <v>41</v>
      </c>
      <c r="N136" t="s">
        <v>58</v>
      </c>
      <c r="O136">
        <v>11</v>
      </c>
      <c r="P136" t="s">
        <v>27</v>
      </c>
      <c r="Q136">
        <v>4</v>
      </c>
      <c r="R136">
        <v>499</v>
      </c>
    </row>
    <row r="137" spans="1:18" x14ac:dyDescent="0.3">
      <c r="A137" t="s">
        <v>196</v>
      </c>
      <c r="B137" s="1">
        <v>45869</v>
      </c>
      <c r="C137">
        <v>2025</v>
      </c>
      <c r="D137" t="s">
        <v>85</v>
      </c>
      <c r="E137" t="s">
        <v>35</v>
      </c>
      <c r="F137" t="s">
        <v>21</v>
      </c>
      <c r="G137">
        <v>54</v>
      </c>
      <c r="H137" t="s">
        <v>36</v>
      </c>
      <c r="I137" t="s">
        <v>48</v>
      </c>
      <c r="J137">
        <v>649</v>
      </c>
      <c r="K137" t="s">
        <v>24</v>
      </c>
      <c r="L137">
        <v>27</v>
      </c>
      <c r="M137" t="s">
        <v>45</v>
      </c>
      <c r="N137" t="s">
        <v>26</v>
      </c>
      <c r="O137">
        <v>3</v>
      </c>
      <c r="P137" t="s">
        <v>27</v>
      </c>
      <c r="Q137">
        <v>3</v>
      </c>
      <c r="R137">
        <v>649</v>
      </c>
    </row>
    <row r="138" spans="1:18" x14ac:dyDescent="0.3">
      <c r="A138" t="s">
        <v>197</v>
      </c>
      <c r="B138" s="1">
        <v>45154</v>
      </c>
      <c r="C138">
        <v>2023</v>
      </c>
      <c r="D138" t="s">
        <v>34</v>
      </c>
      <c r="E138" t="s">
        <v>43</v>
      </c>
      <c r="F138" t="s">
        <v>21</v>
      </c>
      <c r="G138">
        <v>42</v>
      </c>
      <c r="H138" t="s">
        <v>22</v>
      </c>
      <c r="I138" t="s">
        <v>37</v>
      </c>
      <c r="J138">
        <v>199</v>
      </c>
      <c r="K138" t="s">
        <v>40</v>
      </c>
      <c r="L138">
        <v>25</v>
      </c>
      <c r="M138" t="s">
        <v>25</v>
      </c>
      <c r="N138" t="s">
        <v>32</v>
      </c>
      <c r="O138">
        <v>21</v>
      </c>
      <c r="P138" t="s">
        <v>73</v>
      </c>
      <c r="Q138">
        <v>2</v>
      </c>
      <c r="R138">
        <v>0</v>
      </c>
    </row>
    <row r="139" spans="1:18" x14ac:dyDescent="0.3">
      <c r="A139" t="s">
        <v>198</v>
      </c>
      <c r="B139" s="1">
        <v>45604</v>
      </c>
      <c r="C139">
        <v>2024</v>
      </c>
      <c r="D139" t="s">
        <v>19</v>
      </c>
      <c r="E139" t="s">
        <v>52</v>
      </c>
      <c r="F139" t="s">
        <v>21</v>
      </c>
      <c r="G139">
        <v>51</v>
      </c>
      <c r="H139" t="s">
        <v>36</v>
      </c>
      <c r="I139" t="s">
        <v>23</v>
      </c>
      <c r="J139">
        <v>499</v>
      </c>
      <c r="K139" t="s">
        <v>57</v>
      </c>
      <c r="L139">
        <v>54</v>
      </c>
      <c r="M139" t="s">
        <v>45</v>
      </c>
      <c r="N139" t="s">
        <v>32</v>
      </c>
      <c r="O139">
        <v>20</v>
      </c>
      <c r="P139" t="s">
        <v>27</v>
      </c>
      <c r="Q139">
        <v>5</v>
      </c>
      <c r="R139">
        <v>499</v>
      </c>
    </row>
    <row r="140" spans="1:18" x14ac:dyDescent="0.3">
      <c r="A140" t="s">
        <v>199</v>
      </c>
      <c r="B140" s="1">
        <v>44860</v>
      </c>
      <c r="C140">
        <v>2022</v>
      </c>
      <c r="D140" t="s">
        <v>47</v>
      </c>
      <c r="E140" t="s">
        <v>43</v>
      </c>
      <c r="F140" t="s">
        <v>63</v>
      </c>
      <c r="G140">
        <v>40</v>
      </c>
      <c r="H140" t="s">
        <v>22</v>
      </c>
      <c r="I140" t="s">
        <v>23</v>
      </c>
      <c r="J140">
        <v>499</v>
      </c>
      <c r="K140" t="s">
        <v>30</v>
      </c>
      <c r="L140">
        <v>31</v>
      </c>
      <c r="M140" t="s">
        <v>45</v>
      </c>
      <c r="N140" t="s">
        <v>58</v>
      </c>
      <c r="O140">
        <v>14</v>
      </c>
      <c r="P140" t="s">
        <v>27</v>
      </c>
      <c r="Q140">
        <v>3</v>
      </c>
      <c r="R140">
        <v>499</v>
      </c>
    </row>
    <row r="141" spans="1:18" x14ac:dyDescent="0.3">
      <c r="A141" t="s">
        <v>200</v>
      </c>
      <c r="B141" s="1">
        <v>44737</v>
      </c>
      <c r="C141">
        <v>2022</v>
      </c>
      <c r="D141" t="s">
        <v>69</v>
      </c>
      <c r="E141" t="s">
        <v>43</v>
      </c>
      <c r="F141" t="s">
        <v>21</v>
      </c>
      <c r="G141">
        <v>50</v>
      </c>
      <c r="H141" t="s">
        <v>22</v>
      </c>
      <c r="I141" t="s">
        <v>48</v>
      </c>
      <c r="J141">
        <v>649</v>
      </c>
      <c r="K141" t="s">
        <v>24</v>
      </c>
      <c r="L141">
        <v>26</v>
      </c>
      <c r="M141" t="s">
        <v>25</v>
      </c>
      <c r="N141" t="s">
        <v>58</v>
      </c>
      <c r="O141">
        <v>6</v>
      </c>
      <c r="P141" t="s">
        <v>27</v>
      </c>
      <c r="Q141">
        <v>3</v>
      </c>
      <c r="R141">
        <v>649</v>
      </c>
    </row>
    <row r="142" spans="1:18" x14ac:dyDescent="0.3">
      <c r="A142" t="s">
        <v>201</v>
      </c>
      <c r="B142" s="1">
        <v>44681</v>
      </c>
      <c r="C142">
        <v>2022</v>
      </c>
      <c r="D142" t="s">
        <v>51</v>
      </c>
      <c r="E142" t="s">
        <v>43</v>
      </c>
      <c r="F142" t="s">
        <v>21</v>
      </c>
      <c r="G142">
        <v>55</v>
      </c>
      <c r="H142" t="s">
        <v>22</v>
      </c>
      <c r="I142" t="s">
        <v>37</v>
      </c>
      <c r="J142">
        <v>199</v>
      </c>
      <c r="K142" t="s">
        <v>49</v>
      </c>
      <c r="L142">
        <v>59</v>
      </c>
      <c r="M142" t="s">
        <v>41</v>
      </c>
      <c r="N142" t="s">
        <v>26</v>
      </c>
      <c r="O142">
        <v>31</v>
      </c>
      <c r="P142" t="s">
        <v>27</v>
      </c>
      <c r="Q142">
        <v>3</v>
      </c>
      <c r="R142">
        <v>199</v>
      </c>
    </row>
    <row r="143" spans="1:18" x14ac:dyDescent="0.3">
      <c r="A143" t="s">
        <v>202</v>
      </c>
      <c r="B143" s="1">
        <v>45946</v>
      </c>
      <c r="C143">
        <v>2025</v>
      </c>
      <c r="D143" t="s">
        <v>47</v>
      </c>
      <c r="E143" t="s">
        <v>43</v>
      </c>
      <c r="F143" t="s">
        <v>29</v>
      </c>
      <c r="G143">
        <v>32</v>
      </c>
      <c r="H143" t="s">
        <v>36</v>
      </c>
      <c r="I143" t="s">
        <v>37</v>
      </c>
      <c r="J143">
        <v>199</v>
      </c>
      <c r="K143" t="s">
        <v>53</v>
      </c>
      <c r="L143">
        <v>55</v>
      </c>
      <c r="M143" t="s">
        <v>25</v>
      </c>
      <c r="N143" t="s">
        <v>58</v>
      </c>
      <c r="O143">
        <v>17</v>
      </c>
      <c r="P143" t="s">
        <v>27</v>
      </c>
      <c r="Q143">
        <v>5</v>
      </c>
      <c r="R143">
        <v>199</v>
      </c>
    </row>
    <row r="144" spans="1:18" x14ac:dyDescent="0.3">
      <c r="A144" t="s">
        <v>203</v>
      </c>
      <c r="B144" s="1">
        <v>44666</v>
      </c>
      <c r="C144">
        <v>2022</v>
      </c>
      <c r="D144" t="s">
        <v>51</v>
      </c>
      <c r="E144" t="s">
        <v>43</v>
      </c>
      <c r="F144" t="s">
        <v>29</v>
      </c>
      <c r="G144">
        <v>55</v>
      </c>
      <c r="H144" t="s">
        <v>36</v>
      </c>
      <c r="I144" t="s">
        <v>48</v>
      </c>
      <c r="J144">
        <v>649</v>
      </c>
      <c r="K144" t="s">
        <v>67</v>
      </c>
      <c r="L144">
        <v>35</v>
      </c>
      <c r="M144" t="s">
        <v>31</v>
      </c>
      <c r="N144" t="s">
        <v>55</v>
      </c>
      <c r="O144">
        <v>15</v>
      </c>
      <c r="P144" t="s">
        <v>27</v>
      </c>
      <c r="Q144">
        <v>5</v>
      </c>
      <c r="R144">
        <v>649</v>
      </c>
    </row>
    <row r="145" spans="1:18" x14ac:dyDescent="0.3">
      <c r="A145" t="s">
        <v>204</v>
      </c>
      <c r="B145" s="1">
        <v>44888</v>
      </c>
      <c r="C145">
        <v>2022</v>
      </c>
      <c r="D145" t="s">
        <v>19</v>
      </c>
      <c r="E145" t="s">
        <v>20</v>
      </c>
      <c r="F145" t="s">
        <v>29</v>
      </c>
      <c r="G145">
        <v>51</v>
      </c>
      <c r="H145" t="s">
        <v>36</v>
      </c>
      <c r="I145" t="s">
        <v>48</v>
      </c>
      <c r="J145">
        <v>649</v>
      </c>
      <c r="K145" t="s">
        <v>67</v>
      </c>
      <c r="L145">
        <v>40</v>
      </c>
      <c r="M145" t="s">
        <v>45</v>
      </c>
      <c r="N145" t="s">
        <v>26</v>
      </c>
      <c r="O145">
        <v>9</v>
      </c>
      <c r="P145" t="s">
        <v>27</v>
      </c>
      <c r="Q145">
        <v>4</v>
      </c>
      <c r="R145">
        <v>649</v>
      </c>
    </row>
    <row r="146" spans="1:18" x14ac:dyDescent="0.3">
      <c r="A146" t="s">
        <v>205</v>
      </c>
      <c r="B146" s="1">
        <v>45295</v>
      </c>
      <c r="C146">
        <v>2024</v>
      </c>
      <c r="D146" t="s">
        <v>62</v>
      </c>
      <c r="E146" t="s">
        <v>52</v>
      </c>
      <c r="F146" t="s">
        <v>63</v>
      </c>
      <c r="G146">
        <v>44</v>
      </c>
      <c r="H146" t="s">
        <v>22</v>
      </c>
      <c r="I146" t="s">
        <v>37</v>
      </c>
      <c r="J146">
        <v>199</v>
      </c>
      <c r="K146" t="s">
        <v>67</v>
      </c>
      <c r="L146">
        <v>40</v>
      </c>
      <c r="M146" t="s">
        <v>45</v>
      </c>
      <c r="N146" t="s">
        <v>55</v>
      </c>
      <c r="O146">
        <v>2</v>
      </c>
      <c r="P146" t="s">
        <v>27</v>
      </c>
      <c r="Q146">
        <v>5</v>
      </c>
      <c r="R146">
        <v>199</v>
      </c>
    </row>
    <row r="147" spans="1:18" x14ac:dyDescent="0.3">
      <c r="A147" t="s">
        <v>206</v>
      </c>
      <c r="B147" s="1">
        <v>45779</v>
      </c>
      <c r="C147">
        <v>2025</v>
      </c>
      <c r="D147" t="s">
        <v>79</v>
      </c>
      <c r="E147" t="s">
        <v>20</v>
      </c>
      <c r="F147" t="s">
        <v>21</v>
      </c>
      <c r="G147">
        <v>46</v>
      </c>
      <c r="H147" t="s">
        <v>22</v>
      </c>
      <c r="I147" t="s">
        <v>37</v>
      </c>
      <c r="J147">
        <v>199</v>
      </c>
      <c r="K147" t="s">
        <v>49</v>
      </c>
      <c r="L147">
        <v>34</v>
      </c>
      <c r="M147" t="s">
        <v>25</v>
      </c>
      <c r="N147" t="s">
        <v>55</v>
      </c>
      <c r="O147">
        <v>5</v>
      </c>
      <c r="P147" t="s">
        <v>27</v>
      </c>
      <c r="Q147">
        <v>4</v>
      </c>
      <c r="R147">
        <v>199</v>
      </c>
    </row>
    <row r="148" spans="1:18" x14ac:dyDescent="0.3">
      <c r="A148" t="s">
        <v>207</v>
      </c>
      <c r="B148" s="1">
        <v>45451</v>
      </c>
      <c r="C148">
        <v>2024</v>
      </c>
      <c r="D148" t="s">
        <v>69</v>
      </c>
      <c r="E148" t="s">
        <v>43</v>
      </c>
      <c r="F148" t="s">
        <v>21</v>
      </c>
      <c r="G148">
        <v>26</v>
      </c>
      <c r="H148" t="s">
        <v>22</v>
      </c>
      <c r="I148" t="s">
        <v>37</v>
      </c>
      <c r="J148">
        <v>199</v>
      </c>
      <c r="K148" t="s">
        <v>53</v>
      </c>
      <c r="L148">
        <v>27</v>
      </c>
      <c r="M148" t="s">
        <v>41</v>
      </c>
      <c r="N148" t="s">
        <v>58</v>
      </c>
      <c r="O148">
        <v>16</v>
      </c>
      <c r="P148" t="s">
        <v>27</v>
      </c>
      <c r="Q148">
        <v>5</v>
      </c>
      <c r="R148">
        <v>199</v>
      </c>
    </row>
    <row r="149" spans="1:18" x14ac:dyDescent="0.3">
      <c r="A149" t="s">
        <v>208</v>
      </c>
      <c r="B149" s="1">
        <v>44588</v>
      </c>
      <c r="C149">
        <v>2022</v>
      </c>
      <c r="D149" t="s">
        <v>62</v>
      </c>
      <c r="E149" t="s">
        <v>35</v>
      </c>
      <c r="F149" t="s">
        <v>21</v>
      </c>
      <c r="G149">
        <v>30</v>
      </c>
      <c r="H149" t="s">
        <v>36</v>
      </c>
      <c r="I149" t="s">
        <v>23</v>
      </c>
      <c r="J149">
        <v>499</v>
      </c>
      <c r="K149" t="s">
        <v>24</v>
      </c>
      <c r="L149">
        <v>48</v>
      </c>
      <c r="M149" t="s">
        <v>25</v>
      </c>
      <c r="N149" t="s">
        <v>26</v>
      </c>
      <c r="O149">
        <v>10</v>
      </c>
      <c r="P149" t="s">
        <v>27</v>
      </c>
      <c r="Q149">
        <v>5</v>
      </c>
      <c r="R149">
        <v>499</v>
      </c>
    </row>
    <row r="150" spans="1:18" x14ac:dyDescent="0.3">
      <c r="A150" t="s">
        <v>209</v>
      </c>
      <c r="B150" s="1">
        <v>44636</v>
      </c>
      <c r="C150">
        <v>2022</v>
      </c>
      <c r="D150" t="s">
        <v>66</v>
      </c>
      <c r="E150" t="s">
        <v>43</v>
      </c>
      <c r="F150" t="s">
        <v>63</v>
      </c>
      <c r="G150">
        <v>54</v>
      </c>
      <c r="H150" t="s">
        <v>36</v>
      </c>
      <c r="I150" t="s">
        <v>37</v>
      </c>
      <c r="J150">
        <v>199</v>
      </c>
      <c r="K150" t="s">
        <v>40</v>
      </c>
      <c r="L150">
        <v>44</v>
      </c>
      <c r="M150" t="s">
        <v>41</v>
      </c>
      <c r="N150" t="s">
        <v>32</v>
      </c>
      <c r="O150">
        <v>3</v>
      </c>
      <c r="P150" t="s">
        <v>27</v>
      </c>
      <c r="Q150">
        <v>4</v>
      </c>
      <c r="R150">
        <v>199</v>
      </c>
    </row>
    <row r="151" spans="1:18" x14ac:dyDescent="0.3">
      <c r="A151" t="s">
        <v>210</v>
      </c>
      <c r="B151" s="1">
        <v>45295</v>
      </c>
      <c r="C151">
        <v>2024</v>
      </c>
      <c r="D151" t="s">
        <v>62</v>
      </c>
      <c r="E151" t="s">
        <v>43</v>
      </c>
      <c r="F151" t="s">
        <v>63</v>
      </c>
      <c r="G151">
        <v>19</v>
      </c>
      <c r="H151" t="s">
        <v>36</v>
      </c>
      <c r="I151" t="s">
        <v>23</v>
      </c>
      <c r="J151">
        <v>499</v>
      </c>
      <c r="K151" t="s">
        <v>53</v>
      </c>
      <c r="L151">
        <v>33</v>
      </c>
      <c r="M151" t="s">
        <v>41</v>
      </c>
      <c r="N151" t="s">
        <v>32</v>
      </c>
      <c r="O151">
        <v>6</v>
      </c>
      <c r="P151" t="s">
        <v>27</v>
      </c>
      <c r="Q151">
        <v>5</v>
      </c>
      <c r="R151">
        <v>499</v>
      </c>
    </row>
    <row r="152" spans="1:18" x14ac:dyDescent="0.3">
      <c r="A152" t="s">
        <v>211</v>
      </c>
      <c r="B152" s="1">
        <v>45279</v>
      </c>
      <c r="C152">
        <v>2023</v>
      </c>
      <c r="D152" t="s">
        <v>39</v>
      </c>
      <c r="E152" t="s">
        <v>52</v>
      </c>
      <c r="F152" t="s">
        <v>29</v>
      </c>
      <c r="G152">
        <v>47</v>
      </c>
      <c r="H152" t="s">
        <v>22</v>
      </c>
      <c r="I152" t="s">
        <v>48</v>
      </c>
      <c r="J152">
        <v>649</v>
      </c>
      <c r="K152" t="s">
        <v>24</v>
      </c>
      <c r="L152">
        <v>51</v>
      </c>
      <c r="M152" t="s">
        <v>25</v>
      </c>
      <c r="N152" t="s">
        <v>32</v>
      </c>
      <c r="O152">
        <v>29</v>
      </c>
      <c r="P152" t="s">
        <v>27</v>
      </c>
      <c r="Q152">
        <v>3</v>
      </c>
      <c r="R152">
        <v>649</v>
      </c>
    </row>
    <row r="153" spans="1:18" x14ac:dyDescent="0.3">
      <c r="A153" t="s">
        <v>212</v>
      </c>
      <c r="B153" s="1">
        <v>45265</v>
      </c>
      <c r="C153">
        <v>2023</v>
      </c>
      <c r="D153" t="s">
        <v>39</v>
      </c>
      <c r="E153" t="s">
        <v>20</v>
      </c>
      <c r="F153" t="s">
        <v>63</v>
      </c>
      <c r="G153">
        <v>50</v>
      </c>
      <c r="H153" t="s">
        <v>22</v>
      </c>
      <c r="I153" t="s">
        <v>37</v>
      </c>
      <c r="J153">
        <v>199</v>
      </c>
      <c r="K153" t="s">
        <v>49</v>
      </c>
      <c r="L153">
        <v>34</v>
      </c>
      <c r="M153" t="s">
        <v>25</v>
      </c>
      <c r="N153" t="s">
        <v>58</v>
      </c>
      <c r="O153">
        <v>32</v>
      </c>
      <c r="P153" t="s">
        <v>27</v>
      </c>
      <c r="Q153">
        <v>3</v>
      </c>
      <c r="R153">
        <v>199</v>
      </c>
    </row>
    <row r="154" spans="1:18" x14ac:dyDescent="0.3">
      <c r="A154" t="s">
        <v>213</v>
      </c>
      <c r="B154" s="1">
        <v>45167</v>
      </c>
      <c r="C154">
        <v>2023</v>
      </c>
      <c r="D154" t="s">
        <v>34</v>
      </c>
      <c r="E154" t="s">
        <v>35</v>
      </c>
      <c r="F154" t="s">
        <v>63</v>
      </c>
      <c r="G154">
        <v>35</v>
      </c>
      <c r="H154" t="s">
        <v>36</v>
      </c>
      <c r="I154" t="s">
        <v>48</v>
      </c>
      <c r="J154">
        <v>649</v>
      </c>
      <c r="K154" t="s">
        <v>40</v>
      </c>
      <c r="L154">
        <v>23</v>
      </c>
      <c r="M154" t="s">
        <v>45</v>
      </c>
      <c r="N154" t="s">
        <v>55</v>
      </c>
      <c r="O154">
        <v>39</v>
      </c>
      <c r="P154" t="s">
        <v>27</v>
      </c>
      <c r="Q154">
        <v>5</v>
      </c>
      <c r="R154">
        <v>649</v>
      </c>
    </row>
    <row r="155" spans="1:18" x14ac:dyDescent="0.3">
      <c r="A155" t="s">
        <v>214</v>
      </c>
      <c r="B155" s="1">
        <v>45899</v>
      </c>
      <c r="C155">
        <v>2025</v>
      </c>
      <c r="D155" t="s">
        <v>34</v>
      </c>
      <c r="E155" t="s">
        <v>20</v>
      </c>
      <c r="F155" t="s">
        <v>29</v>
      </c>
      <c r="G155">
        <v>21</v>
      </c>
      <c r="H155" t="s">
        <v>36</v>
      </c>
      <c r="I155" t="s">
        <v>37</v>
      </c>
      <c r="J155">
        <v>199</v>
      </c>
      <c r="K155" t="s">
        <v>30</v>
      </c>
      <c r="L155">
        <v>22</v>
      </c>
      <c r="M155" t="s">
        <v>25</v>
      </c>
      <c r="N155" t="s">
        <v>55</v>
      </c>
      <c r="O155">
        <v>15</v>
      </c>
      <c r="P155" t="s">
        <v>27</v>
      </c>
      <c r="Q155">
        <v>4</v>
      </c>
      <c r="R155">
        <v>199</v>
      </c>
    </row>
    <row r="156" spans="1:18" x14ac:dyDescent="0.3">
      <c r="A156" t="s">
        <v>215</v>
      </c>
      <c r="B156" s="1">
        <v>45416</v>
      </c>
      <c r="C156">
        <v>2024</v>
      </c>
      <c r="D156" t="s">
        <v>79</v>
      </c>
      <c r="E156" t="s">
        <v>20</v>
      </c>
      <c r="F156" t="s">
        <v>29</v>
      </c>
      <c r="G156">
        <v>52</v>
      </c>
      <c r="H156" t="s">
        <v>22</v>
      </c>
      <c r="I156" t="s">
        <v>37</v>
      </c>
      <c r="J156">
        <v>199</v>
      </c>
      <c r="K156" t="s">
        <v>44</v>
      </c>
      <c r="L156">
        <v>47</v>
      </c>
      <c r="M156" t="s">
        <v>41</v>
      </c>
      <c r="N156" t="s">
        <v>26</v>
      </c>
      <c r="O156">
        <v>48</v>
      </c>
      <c r="P156" t="s">
        <v>27</v>
      </c>
      <c r="Q156">
        <v>5</v>
      </c>
      <c r="R156">
        <v>199</v>
      </c>
    </row>
    <row r="157" spans="1:18" x14ac:dyDescent="0.3">
      <c r="A157" t="s">
        <v>216</v>
      </c>
      <c r="B157" s="1">
        <v>44845</v>
      </c>
      <c r="C157">
        <v>2022</v>
      </c>
      <c r="D157" t="s">
        <v>47</v>
      </c>
      <c r="E157" t="s">
        <v>20</v>
      </c>
      <c r="F157" t="s">
        <v>21</v>
      </c>
      <c r="G157">
        <v>30</v>
      </c>
      <c r="H157" t="s">
        <v>36</v>
      </c>
      <c r="I157" t="s">
        <v>37</v>
      </c>
      <c r="J157">
        <v>199</v>
      </c>
      <c r="K157" t="s">
        <v>30</v>
      </c>
      <c r="L157">
        <v>39</v>
      </c>
      <c r="M157" t="s">
        <v>45</v>
      </c>
      <c r="N157" t="s">
        <v>32</v>
      </c>
      <c r="O157">
        <v>41</v>
      </c>
      <c r="P157" t="s">
        <v>73</v>
      </c>
      <c r="Q157">
        <v>3</v>
      </c>
      <c r="R157">
        <v>0</v>
      </c>
    </row>
    <row r="158" spans="1:18" x14ac:dyDescent="0.3">
      <c r="A158" t="s">
        <v>217</v>
      </c>
      <c r="B158" s="1">
        <v>45325</v>
      </c>
      <c r="C158">
        <v>2024</v>
      </c>
      <c r="D158" t="s">
        <v>111</v>
      </c>
      <c r="E158" t="s">
        <v>20</v>
      </c>
      <c r="F158" t="s">
        <v>21</v>
      </c>
      <c r="G158">
        <v>20</v>
      </c>
      <c r="H158" t="s">
        <v>22</v>
      </c>
      <c r="I158" t="s">
        <v>37</v>
      </c>
      <c r="J158">
        <v>199</v>
      </c>
      <c r="K158" t="s">
        <v>67</v>
      </c>
      <c r="L158">
        <v>53</v>
      </c>
      <c r="M158" t="s">
        <v>31</v>
      </c>
      <c r="N158" t="s">
        <v>58</v>
      </c>
      <c r="O158">
        <v>15</v>
      </c>
      <c r="P158" t="s">
        <v>27</v>
      </c>
      <c r="Q158">
        <v>5</v>
      </c>
      <c r="R158">
        <v>199</v>
      </c>
    </row>
    <row r="159" spans="1:18" x14ac:dyDescent="0.3">
      <c r="A159" t="s">
        <v>218</v>
      </c>
      <c r="B159" s="1">
        <v>45752</v>
      </c>
      <c r="C159">
        <v>2025</v>
      </c>
      <c r="D159" t="s">
        <v>51</v>
      </c>
      <c r="E159" t="s">
        <v>52</v>
      </c>
      <c r="F159" t="s">
        <v>21</v>
      </c>
      <c r="G159">
        <v>37</v>
      </c>
      <c r="H159" t="s">
        <v>36</v>
      </c>
      <c r="I159" t="s">
        <v>37</v>
      </c>
      <c r="J159">
        <v>199</v>
      </c>
      <c r="K159" t="s">
        <v>75</v>
      </c>
      <c r="L159">
        <v>55</v>
      </c>
      <c r="M159" t="s">
        <v>31</v>
      </c>
      <c r="N159" t="s">
        <v>58</v>
      </c>
      <c r="O159">
        <v>40</v>
      </c>
      <c r="P159" t="s">
        <v>27</v>
      </c>
      <c r="Q159">
        <v>5</v>
      </c>
      <c r="R159">
        <v>199</v>
      </c>
    </row>
    <row r="160" spans="1:18" x14ac:dyDescent="0.3">
      <c r="A160" t="s">
        <v>219</v>
      </c>
      <c r="B160" s="1">
        <v>45209</v>
      </c>
      <c r="C160">
        <v>2023</v>
      </c>
      <c r="D160" t="s">
        <v>47</v>
      </c>
      <c r="E160" t="s">
        <v>52</v>
      </c>
      <c r="F160" t="s">
        <v>21</v>
      </c>
      <c r="G160">
        <v>33</v>
      </c>
      <c r="H160" t="s">
        <v>36</v>
      </c>
      <c r="I160" t="s">
        <v>37</v>
      </c>
      <c r="J160">
        <v>199</v>
      </c>
      <c r="K160" t="s">
        <v>44</v>
      </c>
      <c r="L160">
        <v>30</v>
      </c>
      <c r="M160" t="s">
        <v>45</v>
      </c>
      <c r="N160" t="s">
        <v>55</v>
      </c>
      <c r="O160">
        <v>14</v>
      </c>
      <c r="P160" t="s">
        <v>27</v>
      </c>
      <c r="Q160">
        <v>5</v>
      </c>
      <c r="R160">
        <v>199</v>
      </c>
    </row>
    <row r="161" spans="1:18" x14ac:dyDescent="0.3">
      <c r="A161" t="s">
        <v>220</v>
      </c>
      <c r="B161" s="1">
        <v>45034</v>
      </c>
      <c r="C161">
        <v>2023</v>
      </c>
      <c r="D161" t="s">
        <v>51</v>
      </c>
      <c r="E161" t="s">
        <v>43</v>
      </c>
      <c r="F161" t="s">
        <v>29</v>
      </c>
      <c r="G161">
        <v>19</v>
      </c>
      <c r="H161" t="s">
        <v>36</v>
      </c>
      <c r="I161" t="s">
        <v>23</v>
      </c>
      <c r="J161">
        <v>499</v>
      </c>
      <c r="K161" t="s">
        <v>44</v>
      </c>
      <c r="L161">
        <v>31</v>
      </c>
      <c r="M161" t="s">
        <v>45</v>
      </c>
      <c r="N161" t="s">
        <v>32</v>
      </c>
      <c r="O161">
        <v>4</v>
      </c>
      <c r="P161" t="s">
        <v>27</v>
      </c>
      <c r="Q161">
        <v>5</v>
      </c>
      <c r="R161">
        <v>499</v>
      </c>
    </row>
    <row r="162" spans="1:18" x14ac:dyDescent="0.3">
      <c r="A162" t="s">
        <v>221</v>
      </c>
      <c r="B162" s="1">
        <v>44853</v>
      </c>
      <c r="C162">
        <v>2022</v>
      </c>
      <c r="D162" t="s">
        <v>47</v>
      </c>
      <c r="E162" t="s">
        <v>43</v>
      </c>
      <c r="F162" t="s">
        <v>63</v>
      </c>
      <c r="G162">
        <v>30</v>
      </c>
      <c r="H162" t="s">
        <v>36</v>
      </c>
      <c r="I162" t="s">
        <v>48</v>
      </c>
      <c r="J162">
        <v>649</v>
      </c>
      <c r="K162" t="s">
        <v>24</v>
      </c>
      <c r="L162">
        <v>24</v>
      </c>
      <c r="M162" t="s">
        <v>25</v>
      </c>
      <c r="N162" t="s">
        <v>58</v>
      </c>
      <c r="O162">
        <v>10</v>
      </c>
      <c r="P162" t="s">
        <v>27</v>
      </c>
      <c r="Q162">
        <v>4</v>
      </c>
      <c r="R162">
        <v>649</v>
      </c>
    </row>
    <row r="163" spans="1:18" x14ac:dyDescent="0.3">
      <c r="A163" t="s">
        <v>222</v>
      </c>
      <c r="B163" s="1">
        <v>45016</v>
      </c>
      <c r="C163">
        <v>2023</v>
      </c>
      <c r="D163" t="s">
        <v>66</v>
      </c>
      <c r="E163" t="s">
        <v>43</v>
      </c>
      <c r="F163" t="s">
        <v>63</v>
      </c>
      <c r="G163">
        <v>44</v>
      </c>
      <c r="H163" t="s">
        <v>22</v>
      </c>
      <c r="I163" t="s">
        <v>37</v>
      </c>
      <c r="J163">
        <v>199</v>
      </c>
      <c r="K163" t="s">
        <v>53</v>
      </c>
      <c r="L163">
        <v>56</v>
      </c>
      <c r="M163" t="s">
        <v>41</v>
      </c>
      <c r="N163" t="s">
        <v>58</v>
      </c>
      <c r="O163">
        <v>3</v>
      </c>
      <c r="P163" t="s">
        <v>27</v>
      </c>
      <c r="Q163">
        <v>5</v>
      </c>
      <c r="R163">
        <v>199</v>
      </c>
    </row>
    <row r="164" spans="1:18" x14ac:dyDescent="0.3">
      <c r="A164" t="s">
        <v>223</v>
      </c>
      <c r="B164" s="1">
        <v>45911</v>
      </c>
      <c r="C164">
        <v>2025</v>
      </c>
      <c r="D164" t="s">
        <v>60</v>
      </c>
      <c r="E164" t="s">
        <v>52</v>
      </c>
      <c r="F164" t="s">
        <v>21</v>
      </c>
      <c r="G164">
        <v>22</v>
      </c>
      <c r="H164" t="s">
        <v>22</v>
      </c>
      <c r="I164" t="s">
        <v>23</v>
      </c>
      <c r="J164">
        <v>499</v>
      </c>
      <c r="K164" t="s">
        <v>24</v>
      </c>
      <c r="L164">
        <v>51</v>
      </c>
      <c r="M164" t="s">
        <v>31</v>
      </c>
      <c r="N164" t="s">
        <v>32</v>
      </c>
      <c r="O164">
        <v>9</v>
      </c>
      <c r="P164" t="s">
        <v>27</v>
      </c>
      <c r="Q164">
        <v>3</v>
      </c>
      <c r="R164">
        <v>499</v>
      </c>
    </row>
    <row r="165" spans="1:18" x14ac:dyDescent="0.3">
      <c r="A165" t="s">
        <v>224</v>
      </c>
      <c r="B165" s="1">
        <v>44665</v>
      </c>
      <c r="C165">
        <v>2022</v>
      </c>
      <c r="D165" t="s">
        <v>51</v>
      </c>
      <c r="E165" t="s">
        <v>35</v>
      </c>
      <c r="F165" t="s">
        <v>63</v>
      </c>
      <c r="G165">
        <v>31</v>
      </c>
      <c r="H165" t="s">
        <v>22</v>
      </c>
      <c r="I165" t="s">
        <v>23</v>
      </c>
      <c r="J165">
        <v>499</v>
      </c>
      <c r="K165" t="s">
        <v>57</v>
      </c>
      <c r="L165">
        <v>43</v>
      </c>
      <c r="M165" t="s">
        <v>41</v>
      </c>
      <c r="N165" t="s">
        <v>26</v>
      </c>
      <c r="O165">
        <v>2</v>
      </c>
      <c r="P165" t="s">
        <v>27</v>
      </c>
      <c r="Q165">
        <v>3</v>
      </c>
      <c r="R165">
        <v>499</v>
      </c>
    </row>
    <row r="166" spans="1:18" x14ac:dyDescent="0.3">
      <c r="A166" t="s">
        <v>225</v>
      </c>
      <c r="B166" s="1">
        <v>45891</v>
      </c>
      <c r="C166">
        <v>2025</v>
      </c>
      <c r="D166" t="s">
        <v>34</v>
      </c>
      <c r="E166" t="s">
        <v>52</v>
      </c>
      <c r="F166" t="s">
        <v>21</v>
      </c>
      <c r="G166">
        <v>32</v>
      </c>
      <c r="H166" t="s">
        <v>22</v>
      </c>
      <c r="I166" t="s">
        <v>37</v>
      </c>
      <c r="J166">
        <v>199</v>
      </c>
      <c r="K166" t="s">
        <v>57</v>
      </c>
      <c r="L166">
        <v>44</v>
      </c>
      <c r="M166" t="s">
        <v>31</v>
      </c>
      <c r="N166" t="s">
        <v>58</v>
      </c>
      <c r="O166">
        <v>31</v>
      </c>
      <c r="P166" t="s">
        <v>27</v>
      </c>
      <c r="Q166">
        <v>3</v>
      </c>
      <c r="R166">
        <v>199</v>
      </c>
    </row>
    <row r="167" spans="1:18" x14ac:dyDescent="0.3">
      <c r="A167" t="s">
        <v>226</v>
      </c>
      <c r="B167" s="1">
        <v>45070</v>
      </c>
      <c r="C167">
        <v>2023</v>
      </c>
      <c r="D167" t="s">
        <v>79</v>
      </c>
      <c r="E167" t="s">
        <v>52</v>
      </c>
      <c r="F167" t="s">
        <v>63</v>
      </c>
      <c r="G167">
        <v>29</v>
      </c>
      <c r="H167" t="s">
        <v>36</v>
      </c>
      <c r="I167" t="s">
        <v>23</v>
      </c>
      <c r="J167">
        <v>499</v>
      </c>
      <c r="K167" t="s">
        <v>53</v>
      </c>
      <c r="L167">
        <v>31</v>
      </c>
      <c r="M167" t="s">
        <v>25</v>
      </c>
      <c r="N167" t="s">
        <v>26</v>
      </c>
      <c r="O167">
        <v>20</v>
      </c>
      <c r="P167" t="s">
        <v>73</v>
      </c>
      <c r="Q167">
        <v>5</v>
      </c>
      <c r="R167">
        <v>0</v>
      </c>
    </row>
    <row r="168" spans="1:18" x14ac:dyDescent="0.3">
      <c r="A168" t="s">
        <v>227</v>
      </c>
      <c r="B168" s="1">
        <v>45798</v>
      </c>
      <c r="C168">
        <v>2025</v>
      </c>
      <c r="D168" t="s">
        <v>79</v>
      </c>
      <c r="E168" t="s">
        <v>20</v>
      </c>
      <c r="F168" t="s">
        <v>63</v>
      </c>
      <c r="G168">
        <v>42</v>
      </c>
      <c r="H168" t="s">
        <v>22</v>
      </c>
      <c r="I168" t="s">
        <v>48</v>
      </c>
      <c r="J168">
        <v>649</v>
      </c>
      <c r="K168" t="s">
        <v>44</v>
      </c>
      <c r="L168">
        <v>45</v>
      </c>
      <c r="M168" t="s">
        <v>31</v>
      </c>
      <c r="N168" t="s">
        <v>32</v>
      </c>
      <c r="O168">
        <v>23</v>
      </c>
      <c r="P168" t="s">
        <v>27</v>
      </c>
      <c r="Q168">
        <v>5</v>
      </c>
      <c r="R168">
        <v>649</v>
      </c>
    </row>
    <row r="169" spans="1:18" x14ac:dyDescent="0.3">
      <c r="A169" t="s">
        <v>228</v>
      </c>
      <c r="B169" s="1">
        <v>45176</v>
      </c>
      <c r="C169">
        <v>2023</v>
      </c>
      <c r="D169" t="s">
        <v>60</v>
      </c>
      <c r="E169" t="s">
        <v>35</v>
      </c>
      <c r="F169" t="s">
        <v>29</v>
      </c>
      <c r="G169">
        <v>45</v>
      </c>
      <c r="H169" t="s">
        <v>36</v>
      </c>
      <c r="I169" t="s">
        <v>48</v>
      </c>
      <c r="J169">
        <v>649</v>
      </c>
      <c r="K169" t="s">
        <v>40</v>
      </c>
      <c r="L169">
        <v>35</v>
      </c>
      <c r="M169" t="s">
        <v>31</v>
      </c>
      <c r="N169" t="s">
        <v>32</v>
      </c>
      <c r="O169">
        <v>1</v>
      </c>
      <c r="P169" t="s">
        <v>27</v>
      </c>
      <c r="Q169">
        <v>3</v>
      </c>
      <c r="R169">
        <v>649</v>
      </c>
    </row>
    <row r="170" spans="1:18" x14ac:dyDescent="0.3">
      <c r="A170" t="s">
        <v>229</v>
      </c>
      <c r="B170" s="1">
        <v>44840</v>
      </c>
      <c r="C170">
        <v>2022</v>
      </c>
      <c r="D170" t="s">
        <v>47</v>
      </c>
      <c r="E170" t="s">
        <v>52</v>
      </c>
      <c r="F170" t="s">
        <v>63</v>
      </c>
      <c r="G170">
        <v>44</v>
      </c>
      <c r="H170" t="s">
        <v>22</v>
      </c>
      <c r="I170" t="s">
        <v>37</v>
      </c>
      <c r="J170">
        <v>199</v>
      </c>
      <c r="K170" t="s">
        <v>53</v>
      </c>
      <c r="L170">
        <v>23</v>
      </c>
      <c r="M170" t="s">
        <v>25</v>
      </c>
      <c r="N170" t="s">
        <v>26</v>
      </c>
      <c r="O170">
        <v>23</v>
      </c>
      <c r="P170" t="s">
        <v>27</v>
      </c>
      <c r="Q170">
        <v>5</v>
      </c>
      <c r="R170">
        <v>199</v>
      </c>
    </row>
    <row r="171" spans="1:18" x14ac:dyDescent="0.3">
      <c r="A171" t="s">
        <v>230</v>
      </c>
      <c r="B171" s="1">
        <v>45551</v>
      </c>
      <c r="C171">
        <v>2024</v>
      </c>
      <c r="D171" t="s">
        <v>60</v>
      </c>
      <c r="E171" t="s">
        <v>20</v>
      </c>
      <c r="F171" t="s">
        <v>29</v>
      </c>
      <c r="G171">
        <v>55</v>
      </c>
      <c r="H171" t="s">
        <v>22</v>
      </c>
      <c r="I171" t="s">
        <v>37</v>
      </c>
      <c r="J171">
        <v>199</v>
      </c>
      <c r="K171" t="s">
        <v>44</v>
      </c>
      <c r="L171">
        <v>53</v>
      </c>
      <c r="M171" t="s">
        <v>41</v>
      </c>
      <c r="N171" t="s">
        <v>55</v>
      </c>
      <c r="O171">
        <v>30</v>
      </c>
      <c r="P171" t="s">
        <v>27</v>
      </c>
      <c r="Q171">
        <v>4</v>
      </c>
      <c r="R171">
        <v>199</v>
      </c>
    </row>
    <row r="172" spans="1:18" x14ac:dyDescent="0.3">
      <c r="A172" t="s">
        <v>231</v>
      </c>
      <c r="B172" s="1">
        <v>45296</v>
      </c>
      <c r="C172">
        <v>2024</v>
      </c>
      <c r="D172" t="s">
        <v>62</v>
      </c>
      <c r="E172" t="s">
        <v>43</v>
      </c>
      <c r="F172" t="s">
        <v>29</v>
      </c>
      <c r="G172">
        <v>42</v>
      </c>
      <c r="H172" t="s">
        <v>36</v>
      </c>
      <c r="I172" t="s">
        <v>48</v>
      </c>
      <c r="J172">
        <v>649</v>
      </c>
      <c r="K172" t="s">
        <v>40</v>
      </c>
      <c r="L172">
        <v>59</v>
      </c>
      <c r="M172" t="s">
        <v>45</v>
      </c>
      <c r="N172" t="s">
        <v>58</v>
      </c>
      <c r="O172">
        <v>6</v>
      </c>
      <c r="P172" t="s">
        <v>27</v>
      </c>
      <c r="Q172">
        <v>4</v>
      </c>
      <c r="R172">
        <v>649</v>
      </c>
    </row>
    <row r="173" spans="1:18" x14ac:dyDescent="0.3">
      <c r="A173" t="s">
        <v>232</v>
      </c>
      <c r="B173" s="1">
        <v>45046</v>
      </c>
      <c r="C173">
        <v>2023</v>
      </c>
      <c r="D173" t="s">
        <v>51</v>
      </c>
      <c r="E173" t="s">
        <v>52</v>
      </c>
      <c r="F173" t="s">
        <v>63</v>
      </c>
      <c r="G173">
        <v>21</v>
      </c>
      <c r="H173" t="s">
        <v>22</v>
      </c>
      <c r="I173" t="s">
        <v>23</v>
      </c>
      <c r="J173">
        <v>499</v>
      </c>
      <c r="K173" t="s">
        <v>24</v>
      </c>
      <c r="L173">
        <v>25</v>
      </c>
      <c r="M173" t="s">
        <v>41</v>
      </c>
      <c r="N173" t="s">
        <v>32</v>
      </c>
      <c r="O173">
        <v>13</v>
      </c>
      <c r="P173" t="s">
        <v>27</v>
      </c>
      <c r="Q173">
        <v>3</v>
      </c>
      <c r="R173">
        <v>499</v>
      </c>
    </row>
    <row r="174" spans="1:18" x14ac:dyDescent="0.3">
      <c r="A174" t="s">
        <v>233</v>
      </c>
      <c r="B174" s="1">
        <v>45853</v>
      </c>
      <c r="C174">
        <v>2025</v>
      </c>
      <c r="D174" t="s">
        <v>85</v>
      </c>
      <c r="E174" t="s">
        <v>52</v>
      </c>
      <c r="F174" t="s">
        <v>63</v>
      </c>
      <c r="G174">
        <v>27</v>
      </c>
      <c r="H174" t="s">
        <v>22</v>
      </c>
      <c r="I174" t="s">
        <v>23</v>
      </c>
      <c r="J174">
        <v>499</v>
      </c>
      <c r="K174" t="s">
        <v>53</v>
      </c>
      <c r="L174">
        <v>46</v>
      </c>
      <c r="M174" t="s">
        <v>45</v>
      </c>
      <c r="N174" t="s">
        <v>32</v>
      </c>
      <c r="O174">
        <v>43</v>
      </c>
      <c r="P174" t="s">
        <v>27</v>
      </c>
      <c r="Q174">
        <v>3</v>
      </c>
      <c r="R174">
        <v>499</v>
      </c>
    </row>
    <row r="175" spans="1:18" x14ac:dyDescent="0.3">
      <c r="A175" t="s">
        <v>234</v>
      </c>
      <c r="B175" s="1">
        <v>45615</v>
      </c>
      <c r="C175">
        <v>2024</v>
      </c>
      <c r="D175" t="s">
        <v>19</v>
      </c>
      <c r="E175" t="s">
        <v>20</v>
      </c>
      <c r="F175" t="s">
        <v>63</v>
      </c>
      <c r="G175">
        <v>43</v>
      </c>
      <c r="H175" t="s">
        <v>22</v>
      </c>
      <c r="I175" t="s">
        <v>48</v>
      </c>
      <c r="J175">
        <v>649</v>
      </c>
      <c r="K175" t="s">
        <v>30</v>
      </c>
      <c r="L175">
        <v>47</v>
      </c>
      <c r="M175" t="s">
        <v>41</v>
      </c>
      <c r="N175" t="s">
        <v>58</v>
      </c>
      <c r="O175">
        <v>10</v>
      </c>
      <c r="P175" t="s">
        <v>27</v>
      </c>
      <c r="Q175">
        <v>5</v>
      </c>
      <c r="R175">
        <v>649</v>
      </c>
    </row>
    <row r="176" spans="1:18" x14ac:dyDescent="0.3">
      <c r="A176" t="s">
        <v>235</v>
      </c>
      <c r="B176" s="1">
        <v>44888</v>
      </c>
      <c r="C176">
        <v>2022</v>
      </c>
      <c r="D176" t="s">
        <v>19</v>
      </c>
      <c r="E176" t="s">
        <v>35</v>
      </c>
      <c r="F176" t="s">
        <v>21</v>
      </c>
      <c r="G176">
        <v>28</v>
      </c>
      <c r="H176" t="s">
        <v>36</v>
      </c>
      <c r="I176" t="s">
        <v>23</v>
      </c>
      <c r="J176">
        <v>499</v>
      </c>
      <c r="K176" t="s">
        <v>49</v>
      </c>
      <c r="L176">
        <v>29</v>
      </c>
      <c r="M176" t="s">
        <v>31</v>
      </c>
      <c r="N176" t="s">
        <v>32</v>
      </c>
      <c r="O176">
        <v>34</v>
      </c>
      <c r="P176" t="s">
        <v>27</v>
      </c>
      <c r="Q176">
        <v>5</v>
      </c>
      <c r="R176">
        <v>499</v>
      </c>
    </row>
    <row r="177" spans="1:18" x14ac:dyDescent="0.3">
      <c r="A177" t="s">
        <v>236</v>
      </c>
      <c r="B177" s="1">
        <v>45074</v>
      </c>
      <c r="C177">
        <v>2023</v>
      </c>
      <c r="D177" t="s">
        <v>79</v>
      </c>
      <c r="E177" t="s">
        <v>52</v>
      </c>
      <c r="F177" t="s">
        <v>29</v>
      </c>
      <c r="G177">
        <v>55</v>
      </c>
      <c r="H177" t="s">
        <v>22</v>
      </c>
      <c r="I177" t="s">
        <v>48</v>
      </c>
      <c r="J177">
        <v>649</v>
      </c>
      <c r="K177" t="s">
        <v>24</v>
      </c>
      <c r="L177">
        <v>26</v>
      </c>
      <c r="M177" t="s">
        <v>31</v>
      </c>
      <c r="N177" t="s">
        <v>58</v>
      </c>
      <c r="O177">
        <v>30</v>
      </c>
      <c r="P177" t="s">
        <v>27</v>
      </c>
      <c r="Q177">
        <v>3</v>
      </c>
      <c r="R177">
        <v>649</v>
      </c>
    </row>
    <row r="178" spans="1:18" x14ac:dyDescent="0.3">
      <c r="A178" t="s">
        <v>237</v>
      </c>
      <c r="B178" s="1">
        <v>45735</v>
      </c>
      <c r="C178">
        <v>2025</v>
      </c>
      <c r="D178" t="s">
        <v>66</v>
      </c>
      <c r="E178" t="s">
        <v>20</v>
      </c>
      <c r="F178" t="s">
        <v>21</v>
      </c>
      <c r="G178">
        <v>22</v>
      </c>
      <c r="H178" t="s">
        <v>22</v>
      </c>
      <c r="I178" t="s">
        <v>23</v>
      </c>
      <c r="J178">
        <v>499</v>
      </c>
      <c r="K178" t="s">
        <v>40</v>
      </c>
      <c r="L178">
        <v>29</v>
      </c>
      <c r="M178" t="s">
        <v>45</v>
      </c>
      <c r="N178" t="s">
        <v>26</v>
      </c>
      <c r="O178">
        <v>23</v>
      </c>
      <c r="P178" t="s">
        <v>27</v>
      </c>
      <c r="Q178">
        <v>4</v>
      </c>
      <c r="R178">
        <v>499</v>
      </c>
    </row>
    <row r="179" spans="1:18" x14ac:dyDescent="0.3">
      <c r="A179" t="s">
        <v>238</v>
      </c>
      <c r="B179" s="1">
        <v>45949</v>
      </c>
      <c r="C179">
        <v>2025</v>
      </c>
      <c r="D179" t="s">
        <v>47</v>
      </c>
      <c r="E179" t="s">
        <v>52</v>
      </c>
      <c r="F179" t="s">
        <v>29</v>
      </c>
      <c r="G179">
        <v>27</v>
      </c>
      <c r="H179" t="s">
        <v>22</v>
      </c>
      <c r="I179" t="s">
        <v>48</v>
      </c>
      <c r="J179">
        <v>649</v>
      </c>
      <c r="K179" t="s">
        <v>53</v>
      </c>
      <c r="L179">
        <v>26</v>
      </c>
      <c r="M179" t="s">
        <v>25</v>
      </c>
      <c r="N179" t="s">
        <v>55</v>
      </c>
      <c r="O179">
        <v>46</v>
      </c>
      <c r="P179" t="s">
        <v>27</v>
      </c>
      <c r="Q179">
        <v>3</v>
      </c>
      <c r="R179">
        <v>649</v>
      </c>
    </row>
    <row r="180" spans="1:18" x14ac:dyDescent="0.3">
      <c r="A180" t="s">
        <v>239</v>
      </c>
      <c r="B180" s="1">
        <v>44979</v>
      </c>
      <c r="C180">
        <v>2023</v>
      </c>
      <c r="D180" t="s">
        <v>111</v>
      </c>
      <c r="E180" t="s">
        <v>52</v>
      </c>
      <c r="F180" t="s">
        <v>63</v>
      </c>
      <c r="G180">
        <v>42</v>
      </c>
      <c r="H180" t="s">
        <v>22</v>
      </c>
      <c r="I180" t="s">
        <v>48</v>
      </c>
      <c r="J180">
        <v>649</v>
      </c>
      <c r="K180" t="s">
        <v>24</v>
      </c>
      <c r="L180">
        <v>39</v>
      </c>
      <c r="M180" t="s">
        <v>45</v>
      </c>
      <c r="N180" t="s">
        <v>26</v>
      </c>
      <c r="O180">
        <v>37</v>
      </c>
      <c r="P180" t="s">
        <v>27</v>
      </c>
      <c r="Q180">
        <v>5</v>
      </c>
      <c r="R180">
        <v>649</v>
      </c>
    </row>
    <row r="181" spans="1:18" x14ac:dyDescent="0.3">
      <c r="A181" t="s">
        <v>240</v>
      </c>
      <c r="B181" s="1">
        <v>45050</v>
      </c>
      <c r="C181">
        <v>2023</v>
      </c>
      <c r="D181" t="s">
        <v>79</v>
      </c>
      <c r="E181" t="s">
        <v>52</v>
      </c>
      <c r="F181" t="s">
        <v>21</v>
      </c>
      <c r="G181">
        <v>28</v>
      </c>
      <c r="H181" t="s">
        <v>36</v>
      </c>
      <c r="I181" t="s">
        <v>48</v>
      </c>
      <c r="J181">
        <v>649</v>
      </c>
      <c r="K181" t="s">
        <v>30</v>
      </c>
      <c r="L181">
        <v>52</v>
      </c>
      <c r="M181" t="s">
        <v>25</v>
      </c>
      <c r="N181" t="s">
        <v>32</v>
      </c>
      <c r="O181">
        <v>35</v>
      </c>
      <c r="P181" t="s">
        <v>27</v>
      </c>
      <c r="Q181">
        <v>3</v>
      </c>
      <c r="R181">
        <v>649</v>
      </c>
    </row>
    <row r="182" spans="1:18" x14ac:dyDescent="0.3">
      <c r="A182" t="s">
        <v>241</v>
      </c>
      <c r="B182" s="1">
        <v>45520</v>
      </c>
      <c r="C182">
        <v>2024</v>
      </c>
      <c r="D182" t="s">
        <v>34</v>
      </c>
      <c r="E182" t="s">
        <v>20</v>
      </c>
      <c r="F182" t="s">
        <v>21</v>
      </c>
      <c r="G182">
        <v>30</v>
      </c>
      <c r="H182" t="s">
        <v>36</v>
      </c>
      <c r="I182" t="s">
        <v>48</v>
      </c>
      <c r="J182">
        <v>649</v>
      </c>
      <c r="K182" t="s">
        <v>53</v>
      </c>
      <c r="L182">
        <v>25</v>
      </c>
      <c r="M182" t="s">
        <v>45</v>
      </c>
      <c r="N182" t="s">
        <v>32</v>
      </c>
      <c r="O182">
        <v>37</v>
      </c>
      <c r="P182" t="s">
        <v>27</v>
      </c>
      <c r="Q182">
        <v>3</v>
      </c>
      <c r="R182">
        <v>649</v>
      </c>
    </row>
    <row r="183" spans="1:18" x14ac:dyDescent="0.3">
      <c r="A183" t="s">
        <v>242</v>
      </c>
      <c r="B183" s="1">
        <v>45958</v>
      </c>
      <c r="C183">
        <v>2025</v>
      </c>
      <c r="D183" t="s">
        <v>47</v>
      </c>
      <c r="E183" t="s">
        <v>43</v>
      </c>
      <c r="F183" t="s">
        <v>63</v>
      </c>
      <c r="G183">
        <v>22</v>
      </c>
      <c r="H183" t="s">
        <v>22</v>
      </c>
      <c r="I183" t="s">
        <v>37</v>
      </c>
      <c r="J183">
        <v>199</v>
      </c>
      <c r="K183" t="s">
        <v>30</v>
      </c>
      <c r="L183">
        <v>28</v>
      </c>
      <c r="M183" t="s">
        <v>31</v>
      </c>
      <c r="N183" t="s">
        <v>55</v>
      </c>
      <c r="O183">
        <v>17</v>
      </c>
      <c r="P183" t="s">
        <v>27</v>
      </c>
      <c r="Q183">
        <v>4</v>
      </c>
      <c r="R183">
        <v>199</v>
      </c>
    </row>
    <row r="184" spans="1:18" x14ac:dyDescent="0.3">
      <c r="A184" t="s">
        <v>243</v>
      </c>
      <c r="B184" s="1">
        <v>45453</v>
      </c>
      <c r="C184">
        <v>2024</v>
      </c>
      <c r="D184" t="s">
        <v>69</v>
      </c>
      <c r="E184" t="s">
        <v>35</v>
      </c>
      <c r="F184" t="s">
        <v>21</v>
      </c>
      <c r="G184">
        <v>42</v>
      </c>
      <c r="H184" t="s">
        <v>36</v>
      </c>
      <c r="I184" t="s">
        <v>37</v>
      </c>
      <c r="J184">
        <v>199</v>
      </c>
      <c r="K184" t="s">
        <v>67</v>
      </c>
      <c r="L184">
        <v>55</v>
      </c>
      <c r="M184" t="s">
        <v>25</v>
      </c>
      <c r="N184" t="s">
        <v>58</v>
      </c>
      <c r="O184">
        <v>39</v>
      </c>
      <c r="P184" t="s">
        <v>27</v>
      </c>
      <c r="Q184">
        <v>4</v>
      </c>
      <c r="R184">
        <v>199</v>
      </c>
    </row>
    <row r="185" spans="1:18" x14ac:dyDescent="0.3">
      <c r="A185" t="s">
        <v>244</v>
      </c>
      <c r="B185" s="1">
        <v>45024</v>
      </c>
      <c r="C185">
        <v>2023</v>
      </c>
      <c r="D185" t="s">
        <v>51</v>
      </c>
      <c r="E185" t="s">
        <v>35</v>
      </c>
      <c r="F185" t="s">
        <v>63</v>
      </c>
      <c r="G185">
        <v>46</v>
      </c>
      <c r="H185" t="s">
        <v>36</v>
      </c>
      <c r="I185" t="s">
        <v>48</v>
      </c>
      <c r="J185">
        <v>649</v>
      </c>
      <c r="K185" t="s">
        <v>44</v>
      </c>
      <c r="L185">
        <v>55</v>
      </c>
      <c r="M185" t="s">
        <v>25</v>
      </c>
      <c r="N185" t="s">
        <v>55</v>
      </c>
      <c r="O185">
        <v>43</v>
      </c>
      <c r="P185" t="s">
        <v>27</v>
      </c>
      <c r="Q185">
        <v>3</v>
      </c>
      <c r="R185">
        <v>649</v>
      </c>
    </row>
    <row r="186" spans="1:18" x14ac:dyDescent="0.3">
      <c r="A186" t="s">
        <v>245</v>
      </c>
      <c r="B186" s="1">
        <v>45279</v>
      </c>
      <c r="C186">
        <v>2023</v>
      </c>
      <c r="D186" t="s">
        <v>39</v>
      </c>
      <c r="E186" t="s">
        <v>52</v>
      </c>
      <c r="F186" t="s">
        <v>63</v>
      </c>
      <c r="G186">
        <v>26</v>
      </c>
      <c r="H186" t="s">
        <v>22</v>
      </c>
      <c r="I186" t="s">
        <v>48</v>
      </c>
      <c r="J186">
        <v>649</v>
      </c>
      <c r="K186" t="s">
        <v>24</v>
      </c>
      <c r="L186">
        <v>46</v>
      </c>
      <c r="M186" t="s">
        <v>25</v>
      </c>
      <c r="N186" t="s">
        <v>55</v>
      </c>
      <c r="O186">
        <v>27</v>
      </c>
      <c r="P186" t="s">
        <v>27</v>
      </c>
      <c r="Q186">
        <v>5</v>
      </c>
      <c r="R186">
        <v>649</v>
      </c>
    </row>
    <row r="187" spans="1:18" x14ac:dyDescent="0.3">
      <c r="A187" t="s">
        <v>246</v>
      </c>
      <c r="B187" s="1">
        <v>45617</v>
      </c>
      <c r="C187">
        <v>2024</v>
      </c>
      <c r="D187" t="s">
        <v>19</v>
      </c>
      <c r="E187" t="s">
        <v>43</v>
      </c>
      <c r="F187" t="s">
        <v>63</v>
      </c>
      <c r="G187">
        <v>30</v>
      </c>
      <c r="H187" t="s">
        <v>22</v>
      </c>
      <c r="I187" t="s">
        <v>23</v>
      </c>
      <c r="J187">
        <v>499</v>
      </c>
      <c r="K187" t="s">
        <v>40</v>
      </c>
      <c r="L187">
        <v>43</v>
      </c>
      <c r="M187" t="s">
        <v>45</v>
      </c>
      <c r="N187" t="s">
        <v>26</v>
      </c>
      <c r="O187">
        <v>5</v>
      </c>
      <c r="P187" t="s">
        <v>73</v>
      </c>
      <c r="Q187">
        <v>4</v>
      </c>
      <c r="R187">
        <v>0</v>
      </c>
    </row>
    <row r="188" spans="1:18" x14ac:dyDescent="0.3">
      <c r="A188" t="s">
        <v>247</v>
      </c>
      <c r="B188" s="1">
        <v>44964</v>
      </c>
      <c r="C188">
        <v>2023</v>
      </c>
      <c r="D188" t="s">
        <v>111</v>
      </c>
      <c r="E188" t="s">
        <v>52</v>
      </c>
      <c r="F188" t="s">
        <v>63</v>
      </c>
      <c r="G188">
        <v>30</v>
      </c>
      <c r="H188" t="s">
        <v>22</v>
      </c>
      <c r="I188" t="s">
        <v>23</v>
      </c>
      <c r="J188">
        <v>499</v>
      </c>
      <c r="K188" t="s">
        <v>44</v>
      </c>
      <c r="L188">
        <v>51</v>
      </c>
      <c r="M188" t="s">
        <v>25</v>
      </c>
      <c r="N188" t="s">
        <v>32</v>
      </c>
      <c r="O188">
        <v>12</v>
      </c>
      <c r="P188" t="s">
        <v>27</v>
      </c>
      <c r="Q188">
        <v>3</v>
      </c>
      <c r="R188">
        <v>499</v>
      </c>
    </row>
    <row r="189" spans="1:18" x14ac:dyDescent="0.3">
      <c r="A189" t="s">
        <v>248</v>
      </c>
      <c r="B189" s="1">
        <v>44676</v>
      </c>
      <c r="C189">
        <v>2022</v>
      </c>
      <c r="D189" t="s">
        <v>51</v>
      </c>
      <c r="E189" t="s">
        <v>43</v>
      </c>
      <c r="F189" t="s">
        <v>63</v>
      </c>
      <c r="G189">
        <v>39</v>
      </c>
      <c r="H189" t="s">
        <v>22</v>
      </c>
      <c r="I189" t="s">
        <v>37</v>
      </c>
      <c r="J189">
        <v>199</v>
      </c>
      <c r="K189" t="s">
        <v>57</v>
      </c>
      <c r="L189">
        <v>21</v>
      </c>
      <c r="M189" t="s">
        <v>45</v>
      </c>
      <c r="N189" t="s">
        <v>58</v>
      </c>
      <c r="O189">
        <v>25</v>
      </c>
      <c r="P189" t="s">
        <v>27</v>
      </c>
      <c r="Q189">
        <v>4</v>
      </c>
      <c r="R189">
        <v>199</v>
      </c>
    </row>
    <row r="190" spans="1:18" x14ac:dyDescent="0.3">
      <c r="A190" t="s">
        <v>249</v>
      </c>
      <c r="B190" s="1">
        <v>45867</v>
      </c>
      <c r="C190">
        <v>2025</v>
      </c>
      <c r="D190" t="s">
        <v>85</v>
      </c>
      <c r="E190" t="s">
        <v>20</v>
      </c>
      <c r="F190" t="s">
        <v>21</v>
      </c>
      <c r="G190">
        <v>54</v>
      </c>
      <c r="H190" t="s">
        <v>36</v>
      </c>
      <c r="I190" t="s">
        <v>37</v>
      </c>
      <c r="J190">
        <v>199</v>
      </c>
      <c r="K190" t="s">
        <v>30</v>
      </c>
      <c r="L190">
        <v>22</v>
      </c>
      <c r="M190" t="s">
        <v>31</v>
      </c>
      <c r="N190" t="s">
        <v>32</v>
      </c>
      <c r="O190">
        <v>2</v>
      </c>
      <c r="P190" t="s">
        <v>27</v>
      </c>
      <c r="Q190">
        <v>4</v>
      </c>
      <c r="R190">
        <v>199</v>
      </c>
    </row>
    <row r="191" spans="1:18" x14ac:dyDescent="0.3">
      <c r="A191" t="s">
        <v>250</v>
      </c>
      <c r="B191" s="1">
        <v>44995</v>
      </c>
      <c r="C191">
        <v>2023</v>
      </c>
      <c r="D191" t="s">
        <v>66</v>
      </c>
      <c r="E191" t="s">
        <v>43</v>
      </c>
      <c r="F191" t="s">
        <v>21</v>
      </c>
      <c r="G191">
        <v>43</v>
      </c>
      <c r="H191" t="s">
        <v>36</v>
      </c>
      <c r="I191" t="s">
        <v>37</v>
      </c>
      <c r="J191">
        <v>199</v>
      </c>
      <c r="K191" t="s">
        <v>40</v>
      </c>
      <c r="L191">
        <v>49</v>
      </c>
      <c r="M191" t="s">
        <v>45</v>
      </c>
      <c r="N191" t="s">
        <v>55</v>
      </c>
      <c r="O191">
        <v>8</v>
      </c>
      <c r="P191" t="s">
        <v>27</v>
      </c>
      <c r="Q191">
        <v>3</v>
      </c>
      <c r="R191">
        <v>199</v>
      </c>
    </row>
    <row r="192" spans="1:18" x14ac:dyDescent="0.3">
      <c r="A192" t="s">
        <v>251</v>
      </c>
      <c r="B192" s="1">
        <v>45565</v>
      </c>
      <c r="C192">
        <v>2024</v>
      </c>
      <c r="D192" t="s">
        <v>60</v>
      </c>
      <c r="E192" t="s">
        <v>20</v>
      </c>
      <c r="F192" t="s">
        <v>21</v>
      </c>
      <c r="G192">
        <v>26</v>
      </c>
      <c r="H192" t="s">
        <v>36</v>
      </c>
      <c r="I192" t="s">
        <v>23</v>
      </c>
      <c r="J192">
        <v>499</v>
      </c>
      <c r="K192" t="s">
        <v>67</v>
      </c>
      <c r="L192">
        <v>58</v>
      </c>
      <c r="M192" t="s">
        <v>25</v>
      </c>
      <c r="N192" t="s">
        <v>55</v>
      </c>
      <c r="O192">
        <v>8</v>
      </c>
      <c r="P192" t="s">
        <v>27</v>
      </c>
      <c r="Q192">
        <v>3</v>
      </c>
      <c r="R192">
        <v>499</v>
      </c>
    </row>
    <row r="193" spans="1:18" x14ac:dyDescent="0.3">
      <c r="A193" t="s">
        <v>252</v>
      </c>
      <c r="B193" s="1">
        <v>44593</v>
      </c>
      <c r="C193">
        <v>2022</v>
      </c>
      <c r="D193" t="s">
        <v>111</v>
      </c>
      <c r="E193" t="s">
        <v>52</v>
      </c>
      <c r="F193" t="s">
        <v>21</v>
      </c>
      <c r="G193">
        <v>30</v>
      </c>
      <c r="H193" t="s">
        <v>36</v>
      </c>
      <c r="I193" t="s">
        <v>48</v>
      </c>
      <c r="J193">
        <v>649</v>
      </c>
      <c r="K193" t="s">
        <v>24</v>
      </c>
      <c r="L193">
        <v>34</v>
      </c>
      <c r="M193" t="s">
        <v>45</v>
      </c>
      <c r="N193" t="s">
        <v>58</v>
      </c>
      <c r="O193">
        <v>24</v>
      </c>
      <c r="P193" t="s">
        <v>27</v>
      </c>
      <c r="Q193">
        <v>4</v>
      </c>
      <c r="R193">
        <v>649</v>
      </c>
    </row>
    <row r="194" spans="1:18" x14ac:dyDescent="0.3">
      <c r="A194" t="s">
        <v>253</v>
      </c>
      <c r="B194" s="1">
        <v>45038</v>
      </c>
      <c r="C194">
        <v>2023</v>
      </c>
      <c r="D194" t="s">
        <v>51</v>
      </c>
      <c r="E194" t="s">
        <v>35</v>
      </c>
      <c r="F194" t="s">
        <v>63</v>
      </c>
      <c r="G194">
        <v>33</v>
      </c>
      <c r="H194" t="s">
        <v>22</v>
      </c>
      <c r="I194" t="s">
        <v>48</v>
      </c>
      <c r="J194">
        <v>649</v>
      </c>
      <c r="K194" t="s">
        <v>44</v>
      </c>
      <c r="L194">
        <v>39</v>
      </c>
      <c r="M194" t="s">
        <v>31</v>
      </c>
      <c r="N194" t="s">
        <v>55</v>
      </c>
      <c r="O194">
        <v>23</v>
      </c>
      <c r="P194" t="s">
        <v>27</v>
      </c>
      <c r="Q194">
        <v>4</v>
      </c>
      <c r="R194">
        <v>649</v>
      </c>
    </row>
    <row r="195" spans="1:18" x14ac:dyDescent="0.3">
      <c r="A195" t="s">
        <v>254</v>
      </c>
      <c r="B195" s="1">
        <v>44915</v>
      </c>
      <c r="C195">
        <v>2022</v>
      </c>
      <c r="D195" t="s">
        <v>39</v>
      </c>
      <c r="E195" t="s">
        <v>43</v>
      </c>
      <c r="F195" t="s">
        <v>29</v>
      </c>
      <c r="G195">
        <v>34</v>
      </c>
      <c r="H195" t="s">
        <v>22</v>
      </c>
      <c r="I195" t="s">
        <v>37</v>
      </c>
      <c r="J195">
        <v>199</v>
      </c>
      <c r="K195" t="s">
        <v>49</v>
      </c>
      <c r="L195">
        <v>33</v>
      </c>
      <c r="M195" t="s">
        <v>25</v>
      </c>
      <c r="N195" t="s">
        <v>26</v>
      </c>
      <c r="O195">
        <v>31</v>
      </c>
      <c r="P195" t="s">
        <v>27</v>
      </c>
      <c r="Q195">
        <v>3</v>
      </c>
      <c r="R195">
        <v>199</v>
      </c>
    </row>
    <row r="196" spans="1:18" x14ac:dyDescent="0.3">
      <c r="A196" t="s">
        <v>255</v>
      </c>
      <c r="B196" s="1">
        <v>45000</v>
      </c>
      <c r="C196">
        <v>2023</v>
      </c>
      <c r="D196" t="s">
        <v>66</v>
      </c>
      <c r="E196" t="s">
        <v>35</v>
      </c>
      <c r="F196" t="s">
        <v>63</v>
      </c>
      <c r="G196">
        <v>25</v>
      </c>
      <c r="H196" t="s">
        <v>22</v>
      </c>
      <c r="I196" t="s">
        <v>37</v>
      </c>
      <c r="J196">
        <v>199</v>
      </c>
      <c r="K196" t="s">
        <v>44</v>
      </c>
      <c r="L196">
        <v>48</v>
      </c>
      <c r="M196" t="s">
        <v>45</v>
      </c>
      <c r="N196" t="s">
        <v>26</v>
      </c>
      <c r="O196">
        <v>36</v>
      </c>
      <c r="P196" t="s">
        <v>27</v>
      </c>
      <c r="Q196">
        <v>5</v>
      </c>
      <c r="R196">
        <v>199</v>
      </c>
    </row>
    <row r="197" spans="1:18" x14ac:dyDescent="0.3">
      <c r="A197" t="s">
        <v>256</v>
      </c>
      <c r="B197" s="1">
        <v>45067</v>
      </c>
      <c r="C197">
        <v>2023</v>
      </c>
      <c r="D197" t="s">
        <v>79</v>
      </c>
      <c r="E197" t="s">
        <v>43</v>
      </c>
      <c r="F197" t="s">
        <v>29</v>
      </c>
      <c r="G197">
        <v>42</v>
      </c>
      <c r="H197" t="s">
        <v>36</v>
      </c>
      <c r="I197" t="s">
        <v>37</v>
      </c>
      <c r="J197">
        <v>199</v>
      </c>
      <c r="K197" t="s">
        <v>30</v>
      </c>
      <c r="L197">
        <v>22</v>
      </c>
      <c r="M197" t="s">
        <v>25</v>
      </c>
      <c r="N197" t="s">
        <v>26</v>
      </c>
      <c r="O197">
        <v>11</v>
      </c>
      <c r="P197" t="s">
        <v>27</v>
      </c>
      <c r="Q197">
        <v>5</v>
      </c>
      <c r="R197">
        <v>199</v>
      </c>
    </row>
    <row r="198" spans="1:18" x14ac:dyDescent="0.3">
      <c r="A198" t="s">
        <v>257</v>
      </c>
      <c r="B198" s="1">
        <v>45070</v>
      </c>
      <c r="C198">
        <v>2023</v>
      </c>
      <c r="D198" t="s">
        <v>79</v>
      </c>
      <c r="E198" t="s">
        <v>20</v>
      </c>
      <c r="F198" t="s">
        <v>63</v>
      </c>
      <c r="G198">
        <v>24</v>
      </c>
      <c r="H198" t="s">
        <v>36</v>
      </c>
      <c r="I198" t="s">
        <v>37</v>
      </c>
      <c r="J198">
        <v>199</v>
      </c>
      <c r="K198" t="s">
        <v>44</v>
      </c>
      <c r="L198">
        <v>35</v>
      </c>
      <c r="M198" t="s">
        <v>31</v>
      </c>
      <c r="N198" t="s">
        <v>26</v>
      </c>
      <c r="O198">
        <v>45</v>
      </c>
      <c r="P198" t="s">
        <v>27</v>
      </c>
      <c r="Q198">
        <v>5</v>
      </c>
      <c r="R198">
        <v>199</v>
      </c>
    </row>
    <row r="199" spans="1:18" x14ac:dyDescent="0.3">
      <c r="A199" t="s">
        <v>258</v>
      </c>
      <c r="B199" s="1">
        <v>45862</v>
      </c>
      <c r="C199">
        <v>2025</v>
      </c>
      <c r="D199" t="s">
        <v>85</v>
      </c>
      <c r="E199" t="s">
        <v>52</v>
      </c>
      <c r="F199" t="s">
        <v>21</v>
      </c>
      <c r="G199">
        <v>33</v>
      </c>
      <c r="H199" t="s">
        <v>22</v>
      </c>
      <c r="I199" t="s">
        <v>23</v>
      </c>
      <c r="J199">
        <v>499</v>
      </c>
      <c r="K199" t="s">
        <v>53</v>
      </c>
      <c r="L199">
        <v>37</v>
      </c>
      <c r="M199" t="s">
        <v>45</v>
      </c>
      <c r="N199" t="s">
        <v>26</v>
      </c>
      <c r="O199">
        <v>15</v>
      </c>
      <c r="P199" t="s">
        <v>27</v>
      </c>
      <c r="Q199">
        <v>5</v>
      </c>
      <c r="R199">
        <v>499</v>
      </c>
    </row>
    <row r="200" spans="1:18" x14ac:dyDescent="0.3">
      <c r="A200" t="s">
        <v>259</v>
      </c>
      <c r="B200" s="1">
        <v>45858</v>
      </c>
      <c r="C200">
        <v>2025</v>
      </c>
      <c r="D200" t="s">
        <v>85</v>
      </c>
      <c r="E200" t="s">
        <v>43</v>
      </c>
      <c r="F200" t="s">
        <v>21</v>
      </c>
      <c r="G200">
        <v>49</v>
      </c>
      <c r="H200" t="s">
        <v>22</v>
      </c>
      <c r="I200" t="s">
        <v>23</v>
      </c>
      <c r="J200">
        <v>499</v>
      </c>
      <c r="K200" t="s">
        <v>44</v>
      </c>
      <c r="L200">
        <v>56</v>
      </c>
      <c r="M200" t="s">
        <v>25</v>
      </c>
      <c r="N200" t="s">
        <v>26</v>
      </c>
      <c r="O200">
        <v>27</v>
      </c>
      <c r="P200" t="s">
        <v>27</v>
      </c>
      <c r="Q200">
        <v>5</v>
      </c>
      <c r="R200">
        <v>499</v>
      </c>
    </row>
    <row r="201" spans="1:18" x14ac:dyDescent="0.3">
      <c r="A201" t="s">
        <v>260</v>
      </c>
      <c r="B201" s="1">
        <v>45343</v>
      </c>
      <c r="C201">
        <v>2024</v>
      </c>
      <c r="D201" t="s">
        <v>111</v>
      </c>
      <c r="E201" t="s">
        <v>35</v>
      </c>
      <c r="F201" t="s">
        <v>63</v>
      </c>
      <c r="G201">
        <v>49</v>
      </c>
      <c r="H201" t="s">
        <v>36</v>
      </c>
      <c r="I201" t="s">
        <v>37</v>
      </c>
      <c r="J201">
        <v>199</v>
      </c>
      <c r="K201" t="s">
        <v>49</v>
      </c>
      <c r="L201">
        <v>49</v>
      </c>
      <c r="M201" t="s">
        <v>31</v>
      </c>
      <c r="N201" t="s">
        <v>55</v>
      </c>
      <c r="O201">
        <v>14</v>
      </c>
      <c r="P201" t="s">
        <v>27</v>
      </c>
      <c r="Q201">
        <v>3</v>
      </c>
      <c r="R201">
        <v>199</v>
      </c>
    </row>
    <row r="202" spans="1:18" x14ac:dyDescent="0.3">
      <c r="A202" t="s">
        <v>261</v>
      </c>
      <c r="B202" s="1">
        <v>45860</v>
      </c>
      <c r="C202">
        <v>2025</v>
      </c>
      <c r="D202" t="s">
        <v>85</v>
      </c>
      <c r="E202" t="s">
        <v>20</v>
      </c>
      <c r="F202" t="s">
        <v>29</v>
      </c>
      <c r="G202">
        <v>33</v>
      </c>
      <c r="H202" t="s">
        <v>22</v>
      </c>
      <c r="I202" t="s">
        <v>37</v>
      </c>
      <c r="J202">
        <v>199</v>
      </c>
      <c r="K202" t="s">
        <v>24</v>
      </c>
      <c r="L202">
        <v>51</v>
      </c>
      <c r="M202" t="s">
        <v>25</v>
      </c>
      <c r="N202" t="s">
        <v>58</v>
      </c>
      <c r="O202">
        <v>10</v>
      </c>
      <c r="P202" t="s">
        <v>27</v>
      </c>
      <c r="Q202">
        <v>5</v>
      </c>
      <c r="R202">
        <v>199</v>
      </c>
    </row>
    <row r="203" spans="1:18" x14ac:dyDescent="0.3">
      <c r="A203" t="s">
        <v>262</v>
      </c>
      <c r="B203" s="1">
        <v>45703</v>
      </c>
      <c r="C203">
        <v>2025</v>
      </c>
      <c r="D203" t="s">
        <v>111</v>
      </c>
      <c r="E203" t="s">
        <v>52</v>
      </c>
      <c r="F203" t="s">
        <v>63</v>
      </c>
      <c r="G203">
        <v>43</v>
      </c>
      <c r="H203" t="s">
        <v>36</v>
      </c>
      <c r="I203" t="s">
        <v>37</v>
      </c>
      <c r="J203">
        <v>199</v>
      </c>
      <c r="K203" t="s">
        <v>49</v>
      </c>
      <c r="L203">
        <v>50</v>
      </c>
      <c r="M203" t="s">
        <v>41</v>
      </c>
      <c r="N203" t="s">
        <v>58</v>
      </c>
      <c r="O203">
        <v>8</v>
      </c>
      <c r="P203" t="s">
        <v>27</v>
      </c>
      <c r="Q203">
        <v>3</v>
      </c>
      <c r="R203">
        <v>199</v>
      </c>
    </row>
    <row r="204" spans="1:18" x14ac:dyDescent="0.3">
      <c r="A204" t="s">
        <v>263</v>
      </c>
      <c r="B204" s="1">
        <v>45383</v>
      </c>
      <c r="C204">
        <v>2024</v>
      </c>
      <c r="D204" t="s">
        <v>51</v>
      </c>
      <c r="E204" t="s">
        <v>35</v>
      </c>
      <c r="F204" t="s">
        <v>63</v>
      </c>
      <c r="G204">
        <v>30</v>
      </c>
      <c r="H204" t="s">
        <v>22</v>
      </c>
      <c r="I204" t="s">
        <v>23</v>
      </c>
      <c r="J204">
        <v>499</v>
      </c>
      <c r="K204" t="s">
        <v>53</v>
      </c>
      <c r="L204">
        <v>51</v>
      </c>
      <c r="M204" t="s">
        <v>45</v>
      </c>
      <c r="N204" t="s">
        <v>32</v>
      </c>
      <c r="O204">
        <v>4</v>
      </c>
      <c r="P204" t="s">
        <v>27</v>
      </c>
      <c r="Q204">
        <v>3</v>
      </c>
      <c r="R204">
        <v>499</v>
      </c>
    </row>
    <row r="205" spans="1:18" x14ac:dyDescent="0.3">
      <c r="A205" t="s">
        <v>264</v>
      </c>
      <c r="B205" s="1">
        <v>45859</v>
      </c>
      <c r="C205">
        <v>2025</v>
      </c>
      <c r="D205" t="s">
        <v>85</v>
      </c>
      <c r="E205" t="s">
        <v>20</v>
      </c>
      <c r="F205" t="s">
        <v>21</v>
      </c>
      <c r="G205">
        <v>41</v>
      </c>
      <c r="H205" t="s">
        <v>22</v>
      </c>
      <c r="I205" t="s">
        <v>37</v>
      </c>
      <c r="J205">
        <v>199</v>
      </c>
      <c r="K205" t="s">
        <v>57</v>
      </c>
      <c r="L205">
        <v>60</v>
      </c>
      <c r="M205" t="s">
        <v>25</v>
      </c>
      <c r="N205" t="s">
        <v>55</v>
      </c>
      <c r="O205">
        <v>39</v>
      </c>
      <c r="P205" t="s">
        <v>27</v>
      </c>
      <c r="Q205">
        <v>5</v>
      </c>
      <c r="R205">
        <v>199</v>
      </c>
    </row>
    <row r="206" spans="1:18" x14ac:dyDescent="0.3">
      <c r="A206" t="s">
        <v>265</v>
      </c>
      <c r="B206" s="1">
        <v>45134</v>
      </c>
      <c r="C206">
        <v>2023</v>
      </c>
      <c r="D206" t="s">
        <v>85</v>
      </c>
      <c r="E206" t="s">
        <v>35</v>
      </c>
      <c r="F206" t="s">
        <v>21</v>
      </c>
      <c r="G206">
        <v>34</v>
      </c>
      <c r="H206" t="s">
        <v>36</v>
      </c>
      <c r="I206" t="s">
        <v>37</v>
      </c>
      <c r="J206">
        <v>199</v>
      </c>
      <c r="K206" t="s">
        <v>30</v>
      </c>
      <c r="L206">
        <v>56</v>
      </c>
      <c r="M206" t="s">
        <v>25</v>
      </c>
      <c r="N206" t="s">
        <v>32</v>
      </c>
      <c r="O206">
        <v>7</v>
      </c>
      <c r="P206" t="s">
        <v>27</v>
      </c>
      <c r="Q206">
        <v>3</v>
      </c>
      <c r="R206">
        <v>199</v>
      </c>
    </row>
    <row r="207" spans="1:18" x14ac:dyDescent="0.3">
      <c r="A207" t="s">
        <v>266</v>
      </c>
      <c r="B207" s="1">
        <v>44903</v>
      </c>
      <c r="C207">
        <v>2022</v>
      </c>
      <c r="D207" t="s">
        <v>39</v>
      </c>
      <c r="E207" t="s">
        <v>35</v>
      </c>
      <c r="F207" t="s">
        <v>21</v>
      </c>
      <c r="G207">
        <v>52</v>
      </c>
      <c r="H207" t="s">
        <v>22</v>
      </c>
      <c r="I207" t="s">
        <v>37</v>
      </c>
      <c r="J207">
        <v>199</v>
      </c>
      <c r="K207" t="s">
        <v>30</v>
      </c>
      <c r="L207">
        <v>54</v>
      </c>
      <c r="M207" t="s">
        <v>41</v>
      </c>
      <c r="N207" t="s">
        <v>55</v>
      </c>
      <c r="O207">
        <v>17</v>
      </c>
      <c r="P207" t="s">
        <v>27</v>
      </c>
      <c r="Q207">
        <v>4</v>
      </c>
      <c r="R207">
        <v>199</v>
      </c>
    </row>
    <row r="208" spans="1:18" x14ac:dyDescent="0.3">
      <c r="A208" t="s">
        <v>267</v>
      </c>
      <c r="B208" s="1">
        <v>44802</v>
      </c>
      <c r="C208">
        <v>2022</v>
      </c>
      <c r="D208" t="s">
        <v>34</v>
      </c>
      <c r="E208" t="s">
        <v>52</v>
      </c>
      <c r="F208" t="s">
        <v>63</v>
      </c>
      <c r="G208">
        <v>44</v>
      </c>
      <c r="H208" t="s">
        <v>36</v>
      </c>
      <c r="I208" t="s">
        <v>23</v>
      </c>
      <c r="J208">
        <v>499</v>
      </c>
      <c r="K208" t="s">
        <v>67</v>
      </c>
      <c r="L208">
        <v>49</v>
      </c>
      <c r="M208" t="s">
        <v>31</v>
      </c>
      <c r="N208" t="s">
        <v>32</v>
      </c>
      <c r="O208">
        <v>39</v>
      </c>
      <c r="P208" t="s">
        <v>27</v>
      </c>
      <c r="Q208">
        <v>3</v>
      </c>
      <c r="R208">
        <v>499</v>
      </c>
    </row>
    <row r="209" spans="1:18" x14ac:dyDescent="0.3">
      <c r="A209" t="s">
        <v>268</v>
      </c>
      <c r="B209" s="1">
        <v>45861</v>
      </c>
      <c r="C209">
        <v>2025</v>
      </c>
      <c r="D209" t="s">
        <v>85</v>
      </c>
      <c r="E209" t="s">
        <v>20</v>
      </c>
      <c r="F209" t="s">
        <v>29</v>
      </c>
      <c r="G209">
        <v>34</v>
      </c>
      <c r="H209" t="s">
        <v>22</v>
      </c>
      <c r="I209" t="s">
        <v>23</v>
      </c>
      <c r="J209">
        <v>499</v>
      </c>
      <c r="K209" t="s">
        <v>24</v>
      </c>
      <c r="L209">
        <v>59</v>
      </c>
      <c r="M209" t="s">
        <v>31</v>
      </c>
      <c r="N209" t="s">
        <v>26</v>
      </c>
      <c r="O209">
        <v>46</v>
      </c>
      <c r="P209" t="s">
        <v>27</v>
      </c>
      <c r="Q209">
        <v>4</v>
      </c>
      <c r="R209">
        <v>499</v>
      </c>
    </row>
    <row r="210" spans="1:18" x14ac:dyDescent="0.3">
      <c r="A210" t="s">
        <v>269</v>
      </c>
      <c r="B210" s="1">
        <v>44977</v>
      </c>
      <c r="C210">
        <v>2023</v>
      </c>
      <c r="D210" t="s">
        <v>111</v>
      </c>
      <c r="E210" t="s">
        <v>35</v>
      </c>
      <c r="F210" t="s">
        <v>29</v>
      </c>
      <c r="G210">
        <v>36</v>
      </c>
      <c r="H210" t="s">
        <v>36</v>
      </c>
      <c r="I210" t="s">
        <v>37</v>
      </c>
      <c r="J210">
        <v>199</v>
      </c>
      <c r="K210" t="s">
        <v>30</v>
      </c>
      <c r="L210">
        <v>42</v>
      </c>
      <c r="M210" t="s">
        <v>25</v>
      </c>
      <c r="N210" t="s">
        <v>26</v>
      </c>
      <c r="O210">
        <v>5</v>
      </c>
      <c r="P210" t="s">
        <v>27</v>
      </c>
      <c r="Q210">
        <v>3</v>
      </c>
      <c r="R210">
        <v>199</v>
      </c>
    </row>
    <row r="211" spans="1:18" x14ac:dyDescent="0.3">
      <c r="A211" t="s">
        <v>270</v>
      </c>
      <c r="B211" s="1">
        <v>45515</v>
      </c>
      <c r="C211">
        <v>2024</v>
      </c>
      <c r="D211" t="s">
        <v>34</v>
      </c>
      <c r="E211" t="s">
        <v>52</v>
      </c>
      <c r="F211" t="s">
        <v>21</v>
      </c>
      <c r="G211">
        <v>35</v>
      </c>
      <c r="H211" t="s">
        <v>22</v>
      </c>
      <c r="I211" t="s">
        <v>23</v>
      </c>
      <c r="J211">
        <v>499</v>
      </c>
      <c r="K211" t="s">
        <v>57</v>
      </c>
      <c r="L211">
        <v>23</v>
      </c>
      <c r="M211" t="s">
        <v>41</v>
      </c>
      <c r="N211" t="s">
        <v>26</v>
      </c>
      <c r="O211">
        <v>34</v>
      </c>
      <c r="P211" t="s">
        <v>27</v>
      </c>
      <c r="Q211">
        <v>3</v>
      </c>
      <c r="R211">
        <v>499</v>
      </c>
    </row>
    <row r="212" spans="1:18" x14ac:dyDescent="0.3">
      <c r="A212" t="s">
        <v>271</v>
      </c>
      <c r="B212" s="1">
        <v>45234</v>
      </c>
      <c r="C212">
        <v>2023</v>
      </c>
      <c r="D212" t="s">
        <v>19</v>
      </c>
      <c r="E212" t="s">
        <v>35</v>
      </c>
      <c r="F212" t="s">
        <v>29</v>
      </c>
      <c r="G212">
        <v>42</v>
      </c>
      <c r="H212" t="s">
        <v>22</v>
      </c>
      <c r="I212" t="s">
        <v>23</v>
      </c>
      <c r="J212">
        <v>499</v>
      </c>
      <c r="K212" t="s">
        <v>57</v>
      </c>
      <c r="L212">
        <v>57</v>
      </c>
      <c r="M212" t="s">
        <v>31</v>
      </c>
      <c r="N212" t="s">
        <v>26</v>
      </c>
      <c r="O212">
        <v>5</v>
      </c>
      <c r="P212" t="s">
        <v>73</v>
      </c>
      <c r="Q212">
        <v>4</v>
      </c>
      <c r="R212">
        <v>0</v>
      </c>
    </row>
    <row r="213" spans="1:18" x14ac:dyDescent="0.3">
      <c r="A213" t="s">
        <v>272</v>
      </c>
      <c r="B213" s="1">
        <v>44579</v>
      </c>
      <c r="C213">
        <v>2022</v>
      </c>
      <c r="D213" t="s">
        <v>62</v>
      </c>
      <c r="E213" t="s">
        <v>52</v>
      </c>
      <c r="F213" t="s">
        <v>29</v>
      </c>
      <c r="G213">
        <v>23</v>
      </c>
      <c r="H213" t="s">
        <v>22</v>
      </c>
      <c r="I213" t="s">
        <v>23</v>
      </c>
      <c r="J213">
        <v>499</v>
      </c>
      <c r="K213" t="s">
        <v>44</v>
      </c>
      <c r="L213">
        <v>33</v>
      </c>
      <c r="M213" t="s">
        <v>31</v>
      </c>
      <c r="N213" t="s">
        <v>58</v>
      </c>
      <c r="O213">
        <v>48</v>
      </c>
      <c r="P213" t="s">
        <v>27</v>
      </c>
      <c r="Q213">
        <v>5</v>
      </c>
      <c r="R213">
        <v>499</v>
      </c>
    </row>
    <row r="214" spans="1:18" x14ac:dyDescent="0.3">
      <c r="A214" t="s">
        <v>273</v>
      </c>
      <c r="B214" s="1">
        <v>44940</v>
      </c>
      <c r="C214">
        <v>2023</v>
      </c>
      <c r="D214" t="s">
        <v>62</v>
      </c>
      <c r="E214" t="s">
        <v>35</v>
      </c>
      <c r="F214" t="s">
        <v>21</v>
      </c>
      <c r="G214">
        <v>37</v>
      </c>
      <c r="H214" t="s">
        <v>22</v>
      </c>
      <c r="I214" t="s">
        <v>37</v>
      </c>
      <c r="J214">
        <v>199</v>
      </c>
      <c r="K214" t="s">
        <v>53</v>
      </c>
      <c r="L214">
        <v>38</v>
      </c>
      <c r="M214" t="s">
        <v>45</v>
      </c>
      <c r="N214" t="s">
        <v>55</v>
      </c>
      <c r="O214">
        <v>31</v>
      </c>
      <c r="P214" t="s">
        <v>27</v>
      </c>
      <c r="Q214">
        <v>5</v>
      </c>
      <c r="R214">
        <v>199</v>
      </c>
    </row>
    <row r="215" spans="1:18" x14ac:dyDescent="0.3">
      <c r="A215" t="s">
        <v>274</v>
      </c>
      <c r="B215" s="1">
        <v>44580</v>
      </c>
      <c r="C215">
        <v>2022</v>
      </c>
      <c r="D215" t="s">
        <v>62</v>
      </c>
      <c r="E215" t="s">
        <v>52</v>
      </c>
      <c r="F215" t="s">
        <v>29</v>
      </c>
      <c r="G215">
        <v>39</v>
      </c>
      <c r="H215" t="s">
        <v>36</v>
      </c>
      <c r="I215" t="s">
        <v>37</v>
      </c>
      <c r="J215">
        <v>199</v>
      </c>
      <c r="K215" t="s">
        <v>53</v>
      </c>
      <c r="L215">
        <v>23</v>
      </c>
      <c r="M215" t="s">
        <v>31</v>
      </c>
      <c r="N215" t="s">
        <v>26</v>
      </c>
      <c r="O215">
        <v>39</v>
      </c>
      <c r="P215" t="s">
        <v>27</v>
      </c>
      <c r="Q215">
        <v>5</v>
      </c>
      <c r="R215">
        <v>199</v>
      </c>
    </row>
    <row r="216" spans="1:18" x14ac:dyDescent="0.3">
      <c r="A216" t="s">
        <v>275</v>
      </c>
      <c r="B216" s="1">
        <v>45784</v>
      </c>
      <c r="C216">
        <v>2025</v>
      </c>
      <c r="D216" t="s">
        <v>79</v>
      </c>
      <c r="E216" t="s">
        <v>35</v>
      </c>
      <c r="F216" t="s">
        <v>63</v>
      </c>
      <c r="G216">
        <v>37</v>
      </c>
      <c r="H216" t="s">
        <v>22</v>
      </c>
      <c r="I216" t="s">
        <v>37</v>
      </c>
      <c r="J216">
        <v>199</v>
      </c>
      <c r="K216" t="s">
        <v>24</v>
      </c>
      <c r="L216">
        <v>41</v>
      </c>
      <c r="M216" t="s">
        <v>25</v>
      </c>
      <c r="N216" t="s">
        <v>55</v>
      </c>
      <c r="O216">
        <v>31</v>
      </c>
      <c r="P216" t="s">
        <v>27</v>
      </c>
      <c r="Q216">
        <v>3</v>
      </c>
      <c r="R216">
        <v>199</v>
      </c>
    </row>
    <row r="217" spans="1:18" x14ac:dyDescent="0.3">
      <c r="A217" t="s">
        <v>276</v>
      </c>
      <c r="B217" s="1">
        <v>44861</v>
      </c>
      <c r="C217">
        <v>2022</v>
      </c>
      <c r="D217" t="s">
        <v>47</v>
      </c>
      <c r="E217" t="s">
        <v>35</v>
      </c>
      <c r="F217" t="s">
        <v>29</v>
      </c>
      <c r="G217">
        <v>52</v>
      </c>
      <c r="H217" t="s">
        <v>36</v>
      </c>
      <c r="I217" t="s">
        <v>37</v>
      </c>
      <c r="J217">
        <v>199</v>
      </c>
      <c r="K217" t="s">
        <v>53</v>
      </c>
      <c r="L217">
        <v>35</v>
      </c>
      <c r="M217" t="s">
        <v>41</v>
      </c>
      <c r="N217" t="s">
        <v>32</v>
      </c>
      <c r="O217">
        <v>11</v>
      </c>
      <c r="P217" t="s">
        <v>27</v>
      </c>
      <c r="Q217">
        <v>5</v>
      </c>
      <c r="R217">
        <v>199</v>
      </c>
    </row>
    <row r="218" spans="1:18" x14ac:dyDescent="0.3">
      <c r="A218" t="s">
        <v>277</v>
      </c>
      <c r="B218" s="1">
        <v>45267</v>
      </c>
      <c r="C218">
        <v>2023</v>
      </c>
      <c r="D218" t="s">
        <v>39</v>
      </c>
      <c r="E218" t="s">
        <v>43</v>
      </c>
      <c r="F218" t="s">
        <v>29</v>
      </c>
      <c r="G218">
        <v>23</v>
      </c>
      <c r="H218" t="s">
        <v>36</v>
      </c>
      <c r="I218" t="s">
        <v>37</v>
      </c>
      <c r="J218">
        <v>199</v>
      </c>
      <c r="K218" t="s">
        <v>49</v>
      </c>
      <c r="L218">
        <v>59</v>
      </c>
      <c r="M218" t="s">
        <v>41</v>
      </c>
      <c r="N218" t="s">
        <v>58</v>
      </c>
      <c r="O218">
        <v>26</v>
      </c>
      <c r="P218" t="s">
        <v>27</v>
      </c>
      <c r="Q218">
        <v>4</v>
      </c>
      <c r="R218">
        <v>199</v>
      </c>
    </row>
    <row r="219" spans="1:18" x14ac:dyDescent="0.3">
      <c r="A219" t="s">
        <v>278</v>
      </c>
      <c r="B219" s="1">
        <v>45343</v>
      </c>
      <c r="C219">
        <v>2024</v>
      </c>
      <c r="D219" t="s">
        <v>111</v>
      </c>
      <c r="E219" t="s">
        <v>43</v>
      </c>
      <c r="F219" t="s">
        <v>63</v>
      </c>
      <c r="G219">
        <v>36</v>
      </c>
      <c r="H219" t="s">
        <v>36</v>
      </c>
      <c r="I219" t="s">
        <v>37</v>
      </c>
      <c r="J219">
        <v>199</v>
      </c>
      <c r="K219" t="s">
        <v>30</v>
      </c>
      <c r="L219">
        <v>28</v>
      </c>
      <c r="M219" t="s">
        <v>41</v>
      </c>
      <c r="N219" t="s">
        <v>32</v>
      </c>
      <c r="O219">
        <v>35</v>
      </c>
      <c r="P219" t="s">
        <v>27</v>
      </c>
      <c r="Q219">
        <v>3</v>
      </c>
      <c r="R219">
        <v>199</v>
      </c>
    </row>
    <row r="220" spans="1:18" x14ac:dyDescent="0.3">
      <c r="A220" t="s">
        <v>279</v>
      </c>
      <c r="B220" s="1">
        <v>44778</v>
      </c>
      <c r="C220">
        <v>2022</v>
      </c>
      <c r="D220" t="s">
        <v>34</v>
      </c>
      <c r="E220" t="s">
        <v>43</v>
      </c>
      <c r="F220" t="s">
        <v>29</v>
      </c>
      <c r="G220">
        <v>25</v>
      </c>
      <c r="H220" t="s">
        <v>22</v>
      </c>
      <c r="I220" t="s">
        <v>48</v>
      </c>
      <c r="J220">
        <v>649</v>
      </c>
      <c r="K220" t="s">
        <v>67</v>
      </c>
      <c r="L220">
        <v>52</v>
      </c>
      <c r="M220" t="s">
        <v>31</v>
      </c>
      <c r="N220" t="s">
        <v>26</v>
      </c>
      <c r="O220">
        <v>45</v>
      </c>
      <c r="P220" t="s">
        <v>27</v>
      </c>
      <c r="Q220">
        <v>3</v>
      </c>
      <c r="R220">
        <v>649</v>
      </c>
    </row>
    <row r="221" spans="1:18" x14ac:dyDescent="0.3">
      <c r="A221" t="s">
        <v>280</v>
      </c>
      <c r="B221" s="1">
        <v>44613</v>
      </c>
      <c r="C221">
        <v>2022</v>
      </c>
      <c r="D221" t="s">
        <v>111</v>
      </c>
      <c r="E221" t="s">
        <v>52</v>
      </c>
      <c r="F221" t="s">
        <v>29</v>
      </c>
      <c r="G221">
        <v>23</v>
      </c>
      <c r="H221" t="s">
        <v>22</v>
      </c>
      <c r="I221" t="s">
        <v>23</v>
      </c>
      <c r="J221">
        <v>499</v>
      </c>
      <c r="K221" t="s">
        <v>40</v>
      </c>
      <c r="L221">
        <v>53</v>
      </c>
      <c r="M221" t="s">
        <v>41</v>
      </c>
      <c r="N221" t="s">
        <v>58</v>
      </c>
      <c r="O221">
        <v>4</v>
      </c>
      <c r="P221" t="s">
        <v>27</v>
      </c>
      <c r="Q221">
        <v>4</v>
      </c>
      <c r="R221">
        <v>499</v>
      </c>
    </row>
    <row r="222" spans="1:18" x14ac:dyDescent="0.3">
      <c r="A222" t="s">
        <v>281</v>
      </c>
      <c r="B222" s="1">
        <v>44870</v>
      </c>
      <c r="C222">
        <v>2022</v>
      </c>
      <c r="D222" t="s">
        <v>19</v>
      </c>
      <c r="E222" t="s">
        <v>20</v>
      </c>
      <c r="F222" t="s">
        <v>29</v>
      </c>
      <c r="G222">
        <v>35</v>
      </c>
      <c r="H222" t="s">
        <v>22</v>
      </c>
      <c r="I222" t="s">
        <v>23</v>
      </c>
      <c r="J222">
        <v>499</v>
      </c>
      <c r="K222" t="s">
        <v>67</v>
      </c>
      <c r="L222">
        <v>23</v>
      </c>
      <c r="M222" t="s">
        <v>41</v>
      </c>
      <c r="N222" t="s">
        <v>32</v>
      </c>
      <c r="O222">
        <v>9</v>
      </c>
      <c r="P222" t="s">
        <v>27</v>
      </c>
      <c r="Q222">
        <v>5</v>
      </c>
      <c r="R222">
        <v>499</v>
      </c>
    </row>
    <row r="223" spans="1:18" x14ac:dyDescent="0.3">
      <c r="A223" t="s">
        <v>282</v>
      </c>
      <c r="B223" s="1">
        <v>45973</v>
      </c>
      <c r="C223">
        <v>2025</v>
      </c>
      <c r="D223" t="s">
        <v>19</v>
      </c>
      <c r="E223" t="s">
        <v>43</v>
      </c>
      <c r="F223" t="s">
        <v>63</v>
      </c>
      <c r="G223">
        <v>36</v>
      </c>
      <c r="H223" t="s">
        <v>22</v>
      </c>
      <c r="I223" t="s">
        <v>48</v>
      </c>
      <c r="J223">
        <v>649</v>
      </c>
      <c r="K223" t="s">
        <v>30</v>
      </c>
      <c r="L223">
        <v>54</v>
      </c>
      <c r="M223" t="s">
        <v>41</v>
      </c>
      <c r="N223" t="s">
        <v>32</v>
      </c>
      <c r="O223">
        <v>30</v>
      </c>
      <c r="P223" t="s">
        <v>27</v>
      </c>
      <c r="Q223">
        <v>5</v>
      </c>
      <c r="R223">
        <v>649</v>
      </c>
    </row>
    <row r="224" spans="1:18" x14ac:dyDescent="0.3">
      <c r="A224" t="s">
        <v>283</v>
      </c>
      <c r="B224" s="1">
        <v>45133</v>
      </c>
      <c r="C224">
        <v>2023</v>
      </c>
      <c r="D224" t="s">
        <v>85</v>
      </c>
      <c r="E224" t="s">
        <v>43</v>
      </c>
      <c r="F224" t="s">
        <v>63</v>
      </c>
      <c r="G224">
        <v>26</v>
      </c>
      <c r="H224" t="s">
        <v>36</v>
      </c>
      <c r="I224" t="s">
        <v>23</v>
      </c>
      <c r="J224">
        <v>499</v>
      </c>
      <c r="K224" t="s">
        <v>40</v>
      </c>
      <c r="L224">
        <v>35</v>
      </c>
      <c r="M224" t="s">
        <v>45</v>
      </c>
      <c r="N224" t="s">
        <v>26</v>
      </c>
      <c r="O224">
        <v>35</v>
      </c>
      <c r="P224" t="s">
        <v>27</v>
      </c>
      <c r="Q224">
        <v>3</v>
      </c>
      <c r="R224">
        <v>499</v>
      </c>
    </row>
    <row r="225" spans="1:18" x14ac:dyDescent="0.3">
      <c r="A225" t="s">
        <v>284</v>
      </c>
      <c r="B225" s="1">
        <v>45505</v>
      </c>
      <c r="C225">
        <v>2024</v>
      </c>
      <c r="D225" t="s">
        <v>34</v>
      </c>
      <c r="E225" t="s">
        <v>35</v>
      </c>
      <c r="F225" t="s">
        <v>21</v>
      </c>
      <c r="G225">
        <v>46</v>
      </c>
      <c r="H225" t="s">
        <v>22</v>
      </c>
      <c r="I225" t="s">
        <v>23</v>
      </c>
      <c r="J225">
        <v>499</v>
      </c>
      <c r="K225" t="s">
        <v>75</v>
      </c>
      <c r="L225">
        <v>34</v>
      </c>
      <c r="M225" t="s">
        <v>31</v>
      </c>
      <c r="N225" t="s">
        <v>58</v>
      </c>
      <c r="O225">
        <v>15</v>
      </c>
      <c r="P225" t="s">
        <v>27</v>
      </c>
      <c r="Q225">
        <v>4</v>
      </c>
      <c r="R225">
        <v>499</v>
      </c>
    </row>
    <row r="226" spans="1:18" x14ac:dyDescent="0.3">
      <c r="A226" t="s">
        <v>285</v>
      </c>
      <c r="B226" s="1">
        <v>44670</v>
      </c>
      <c r="C226">
        <v>2022</v>
      </c>
      <c r="D226" t="s">
        <v>51</v>
      </c>
      <c r="E226" t="s">
        <v>52</v>
      </c>
      <c r="F226" t="s">
        <v>29</v>
      </c>
      <c r="G226">
        <v>45</v>
      </c>
      <c r="H226" t="s">
        <v>22</v>
      </c>
      <c r="I226" t="s">
        <v>48</v>
      </c>
      <c r="J226">
        <v>649</v>
      </c>
      <c r="K226" t="s">
        <v>30</v>
      </c>
      <c r="L226">
        <v>53</v>
      </c>
      <c r="M226" t="s">
        <v>25</v>
      </c>
      <c r="N226" t="s">
        <v>58</v>
      </c>
      <c r="O226">
        <v>22</v>
      </c>
      <c r="P226" t="s">
        <v>27</v>
      </c>
      <c r="Q226">
        <v>5</v>
      </c>
      <c r="R226">
        <v>649</v>
      </c>
    </row>
    <row r="227" spans="1:18" x14ac:dyDescent="0.3">
      <c r="A227" t="s">
        <v>286</v>
      </c>
      <c r="B227" s="1">
        <v>45655</v>
      </c>
      <c r="C227">
        <v>2024</v>
      </c>
      <c r="D227" t="s">
        <v>39</v>
      </c>
      <c r="E227" t="s">
        <v>20</v>
      </c>
      <c r="F227" t="s">
        <v>29</v>
      </c>
      <c r="G227">
        <v>33</v>
      </c>
      <c r="H227" t="s">
        <v>22</v>
      </c>
      <c r="I227" t="s">
        <v>37</v>
      </c>
      <c r="J227">
        <v>199</v>
      </c>
      <c r="K227" t="s">
        <v>53</v>
      </c>
      <c r="L227">
        <v>21</v>
      </c>
      <c r="M227" t="s">
        <v>31</v>
      </c>
      <c r="N227" t="s">
        <v>58</v>
      </c>
      <c r="O227">
        <v>16</v>
      </c>
      <c r="P227" t="s">
        <v>27</v>
      </c>
      <c r="Q227">
        <v>3</v>
      </c>
      <c r="R227">
        <v>199</v>
      </c>
    </row>
    <row r="228" spans="1:18" x14ac:dyDescent="0.3">
      <c r="A228" t="s">
        <v>287</v>
      </c>
      <c r="B228" s="1">
        <v>45025</v>
      </c>
      <c r="C228">
        <v>2023</v>
      </c>
      <c r="D228" t="s">
        <v>51</v>
      </c>
      <c r="E228" t="s">
        <v>43</v>
      </c>
      <c r="F228" t="s">
        <v>29</v>
      </c>
      <c r="G228">
        <v>52</v>
      </c>
      <c r="H228" t="s">
        <v>22</v>
      </c>
      <c r="I228" t="s">
        <v>23</v>
      </c>
      <c r="J228">
        <v>499</v>
      </c>
      <c r="K228" t="s">
        <v>49</v>
      </c>
      <c r="L228">
        <v>25</v>
      </c>
      <c r="M228" t="s">
        <v>25</v>
      </c>
      <c r="N228" t="s">
        <v>26</v>
      </c>
      <c r="O228">
        <v>42</v>
      </c>
      <c r="P228" t="s">
        <v>27</v>
      </c>
      <c r="Q228">
        <v>5</v>
      </c>
      <c r="R228">
        <v>499</v>
      </c>
    </row>
    <row r="229" spans="1:18" x14ac:dyDescent="0.3">
      <c r="A229" t="s">
        <v>288</v>
      </c>
      <c r="B229" s="1">
        <v>44602</v>
      </c>
      <c r="C229">
        <v>2022</v>
      </c>
      <c r="D229" t="s">
        <v>111</v>
      </c>
      <c r="E229" t="s">
        <v>20</v>
      </c>
      <c r="F229" t="s">
        <v>29</v>
      </c>
      <c r="G229">
        <v>42</v>
      </c>
      <c r="H229" t="s">
        <v>22</v>
      </c>
      <c r="I229" t="s">
        <v>23</v>
      </c>
      <c r="J229">
        <v>499</v>
      </c>
      <c r="K229" t="s">
        <v>75</v>
      </c>
      <c r="L229">
        <v>60</v>
      </c>
      <c r="M229" t="s">
        <v>25</v>
      </c>
      <c r="N229" t="s">
        <v>26</v>
      </c>
      <c r="O229">
        <v>26</v>
      </c>
      <c r="P229" t="s">
        <v>27</v>
      </c>
      <c r="Q229">
        <v>4</v>
      </c>
      <c r="R229">
        <v>499</v>
      </c>
    </row>
    <row r="230" spans="1:18" x14ac:dyDescent="0.3">
      <c r="A230" t="s">
        <v>289</v>
      </c>
      <c r="B230" s="1">
        <v>45512</v>
      </c>
      <c r="C230">
        <v>2024</v>
      </c>
      <c r="D230" t="s">
        <v>34</v>
      </c>
      <c r="E230" t="s">
        <v>52</v>
      </c>
      <c r="F230" t="s">
        <v>29</v>
      </c>
      <c r="G230">
        <v>38</v>
      </c>
      <c r="H230" t="s">
        <v>22</v>
      </c>
      <c r="I230" t="s">
        <v>37</v>
      </c>
      <c r="J230">
        <v>199</v>
      </c>
      <c r="K230" t="s">
        <v>40</v>
      </c>
      <c r="L230">
        <v>46</v>
      </c>
      <c r="M230" t="s">
        <v>45</v>
      </c>
      <c r="N230" t="s">
        <v>55</v>
      </c>
      <c r="O230">
        <v>13</v>
      </c>
      <c r="P230" t="s">
        <v>73</v>
      </c>
      <c r="Q230">
        <v>5</v>
      </c>
      <c r="R230">
        <v>0</v>
      </c>
    </row>
    <row r="231" spans="1:18" x14ac:dyDescent="0.3">
      <c r="A231" t="s">
        <v>290</v>
      </c>
      <c r="B231" s="1">
        <v>44716</v>
      </c>
      <c r="C231">
        <v>2022</v>
      </c>
      <c r="D231" t="s">
        <v>69</v>
      </c>
      <c r="E231" t="s">
        <v>52</v>
      </c>
      <c r="F231" t="s">
        <v>29</v>
      </c>
      <c r="G231">
        <v>43</v>
      </c>
      <c r="H231" t="s">
        <v>22</v>
      </c>
      <c r="I231" t="s">
        <v>37</v>
      </c>
      <c r="J231">
        <v>199</v>
      </c>
      <c r="K231" t="s">
        <v>75</v>
      </c>
      <c r="L231">
        <v>48</v>
      </c>
      <c r="M231" t="s">
        <v>25</v>
      </c>
      <c r="N231" t="s">
        <v>32</v>
      </c>
      <c r="O231">
        <v>1</v>
      </c>
      <c r="P231" t="s">
        <v>27</v>
      </c>
      <c r="Q231">
        <v>4</v>
      </c>
      <c r="R231">
        <v>199</v>
      </c>
    </row>
    <row r="232" spans="1:18" x14ac:dyDescent="0.3">
      <c r="A232" t="s">
        <v>291</v>
      </c>
      <c r="B232" s="1">
        <v>45176</v>
      </c>
      <c r="C232">
        <v>2023</v>
      </c>
      <c r="D232" t="s">
        <v>60</v>
      </c>
      <c r="E232" t="s">
        <v>35</v>
      </c>
      <c r="F232" t="s">
        <v>29</v>
      </c>
      <c r="G232">
        <v>36</v>
      </c>
      <c r="H232" t="s">
        <v>36</v>
      </c>
      <c r="I232" t="s">
        <v>23</v>
      </c>
      <c r="J232">
        <v>499</v>
      </c>
      <c r="K232" t="s">
        <v>40</v>
      </c>
      <c r="L232">
        <v>51</v>
      </c>
      <c r="M232" t="s">
        <v>31</v>
      </c>
      <c r="N232" t="s">
        <v>58</v>
      </c>
      <c r="O232">
        <v>46</v>
      </c>
      <c r="P232" t="s">
        <v>27</v>
      </c>
      <c r="Q232">
        <v>5</v>
      </c>
      <c r="R232">
        <v>499</v>
      </c>
    </row>
    <row r="233" spans="1:18" x14ac:dyDescent="0.3">
      <c r="A233" t="s">
        <v>292</v>
      </c>
      <c r="B233" s="1">
        <v>45487</v>
      </c>
      <c r="C233">
        <v>2024</v>
      </c>
      <c r="D233" t="s">
        <v>85</v>
      </c>
      <c r="E233" t="s">
        <v>43</v>
      </c>
      <c r="F233" t="s">
        <v>29</v>
      </c>
      <c r="G233">
        <v>36</v>
      </c>
      <c r="H233" t="s">
        <v>22</v>
      </c>
      <c r="I233" t="s">
        <v>37</v>
      </c>
      <c r="J233">
        <v>199</v>
      </c>
      <c r="K233" t="s">
        <v>30</v>
      </c>
      <c r="L233">
        <v>33</v>
      </c>
      <c r="M233" t="s">
        <v>41</v>
      </c>
      <c r="N233" t="s">
        <v>55</v>
      </c>
      <c r="O233">
        <v>48</v>
      </c>
      <c r="P233" t="s">
        <v>27</v>
      </c>
      <c r="Q233">
        <v>3</v>
      </c>
      <c r="R233">
        <v>199</v>
      </c>
    </row>
    <row r="234" spans="1:18" x14ac:dyDescent="0.3">
      <c r="A234" t="s">
        <v>293</v>
      </c>
      <c r="B234" s="1">
        <v>45331</v>
      </c>
      <c r="C234">
        <v>2024</v>
      </c>
      <c r="D234" t="s">
        <v>111</v>
      </c>
      <c r="E234" t="s">
        <v>43</v>
      </c>
      <c r="F234" t="s">
        <v>29</v>
      </c>
      <c r="G234">
        <v>38</v>
      </c>
      <c r="H234" t="s">
        <v>36</v>
      </c>
      <c r="I234" t="s">
        <v>48</v>
      </c>
      <c r="J234">
        <v>649</v>
      </c>
      <c r="K234" t="s">
        <v>30</v>
      </c>
      <c r="L234">
        <v>46</v>
      </c>
      <c r="M234" t="s">
        <v>31</v>
      </c>
      <c r="N234" t="s">
        <v>58</v>
      </c>
      <c r="O234">
        <v>37</v>
      </c>
      <c r="P234" t="s">
        <v>73</v>
      </c>
      <c r="Q234">
        <v>5</v>
      </c>
      <c r="R234">
        <v>0</v>
      </c>
    </row>
    <row r="235" spans="1:18" x14ac:dyDescent="0.3">
      <c r="A235" t="s">
        <v>294</v>
      </c>
      <c r="B235" s="1">
        <v>45661</v>
      </c>
      <c r="C235">
        <v>2025</v>
      </c>
      <c r="D235" t="s">
        <v>62</v>
      </c>
      <c r="E235" t="s">
        <v>43</v>
      </c>
      <c r="F235" t="s">
        <v>21</v>
      </c>
      <c r="G235">
        <v>37</v>
      </c>
      <c r="H235" t="s">
        <v>36</v>
      </c>
      <c r="I235" t="s">
        <v>48</v>
      </c>
      <c r="J235">
        <v>649</v>
      </c>
      <c r="K235" t="s">
        <v>30</v>
      </c>
      <c r="L235">
        <v>22</v>
      </c>
      <c r="M235" t="s">
        <v>31</v>
      </c>
      <c r="N235" t="s">
        <v>55</v>
      </c>
      <c r="O235">
        <v>25</v>
      </c>
      <c r="P235" t="s">
        <v>27</v>
      </c>
      <c r="Q235">
        <v>4</v>
      </c>
      <c r="R235">
        <v>649</v>
      </c>
    </row>
    <row r="236" spans="1:18" x14ac:dyDescent="0.3">
      <c r="A236" t="s">
        <v>295</v>
      </c>
      <c r="B236" s="1">
        <v>45388</v>
      </c>
      <c r="C236">
        <v>2024</v>
      </c>
      <c r="D236" t="s">
        <v>51</v>
      </c>
      <c r="E236" t="s">
        <v>35</v>
      </c>
      <c r="F236" t="s">
        <v>21</v>
      </c>
      <c r="G236">
        <v>25</v>
      </c>
      <c r="H236" t="s">
        <v>22</v>
      </c>
      <c r="I236" t="s">
        <v>48</v>
      </c>
      <c r="J236">
        <v>649</v>
      </c>
      <c r="K236" t="s">
        <v>44</v>
      </c>
      <c r="L236">
        <v>36</v>
      </c>
      <c r="M236" t="s">
        <v>25</v>
      </c>
      <c r="N236" t="s">
        <v>32</v>
      </c>
      <c r="O236">
        <v>33</v>
      </c>
      <c r="P236" t="s">
        <v>27</v>
      </c>
      <c r="Q236">
        <v>5</v>
      </c>
      <c r="R236">
        <v>649</v>
      </c>
    </row>
    <row r="237" spans="1:18" x14ac:dyDescent="0.3">
      <c r="A237" t="s">
        <v>296</v>
      </c>
      <c r="B237" s="1">
        <v>45347</v>
      </c>
      <c r="C237">
        <v>2024</v>
      </c>
      <c r="D237" t="s">
        <v>111</v>
      </c>
      <c r="E237" t="s">
        <v>20</v>
      </c>
      <c r="F237" t="s">
        <v>63</v>
      </c>
      <c r="G237">
        <v>20</v>
      </c>
      <c r="H237" t="s">
        <v>36</v>
      </c>
      <c r="I237" t="s">
        <v>37</v>
      </c>
      <c r="J237">
        <v>199</v>
      </c>
      <c r="K237" t="s">
        <v>53</v>
      </c>
      <c r="L237">
        <v>58</v>
      </c>
      <c r="M237" t="s">
        <v>41</v>
      </c>
      <c r="N237" t="s">
        <v>26</v>
      </c>
      <c r="O237">
        <v>17</v>
      </c>
      <c r="P237" t="s">
        <v>73</v>
      </c>
      <c r="Q237">
        <v>4</v>
      </c>
      <c r="R237">
        <v>0</v>
      </c>
    </row>
    <row r="238" spans="1:18" x14ac:dyDescent="0.3">
      <c r="A238" t="s">
        <v>297</v>
      </c>
      <c r="B238" s="1">
        <v>45459</v>
      </c>
      <c r="C238">
        <v>2024</v>
      </c>
      <c r="D238" t="s">
        <v>69</v>
      </c>
      <c r="E238" t="s">
        <v>52</v>
      </c>
      <c r="F238" t="s">
        <v>21</v>
      </c>
      <c r="G238">
        <v>25</v>
      </c>
      <c r="H238" t="s">
        <v>36</v>
      </c>
      <c r="I238" t="s">
        <v>23</v>
      </c>
      <c r="J238">
        <v>499</v>
      </c>
      <c r="K238" t="s">
        <v>44</v>
      </c>
      <c r="L238">
        <v>29</v>
      </c>
      <c r="M238" t="s">
        <v>45</v>
      </c>
      <c r="N238" t="s">
        <v>26</v>
      </c>
      <c r="O238">
        <v>37</v>
      </c>
      <c r="P238" t="s">
        <v>27</v>
      </c>
      <c r="Q238">
        <v>3</v>
      </c>
      <c r="R238">
        <v>499</v>
      </c>
    </row>
    <row r="239" spans="1:18" x14ac:dyDescent="0.3">
      <c r="A239" t="s">
        <v>298</v>
      </c>
      <c r="B239" s="1">
        <v>45094</v>
      </c>
      <c r="C239">
        <v>2023</v>
      </c>
      <c r="D239" t="s">
        <v>69</v>
      </c>
      <c r="E239" t="s">
        <v>43</v>
      </c>
      <c r="F239" t="s">
        <v>29</v>
      </c>
      <c r="G239">
        <v>34</v>
      </c>
      <c r="H239" t="s">
        <v>22</v>
      </c>
      <c r="I239" t="s">
        <v>37</v>
      </c>
      <c r="J239">
        <v>199</v>
      </c>
      <c r="K239" t="s">
        <v>24</v>
      </c>
      <c r="L239">
        <v>21</v>
      </c>
      <c r="M239" t="s">
        <v>45</v>
      </c>
      <c r="N239" t="s">
        <v>32</v>
      </c>
      <c r="O239">
        <v>5</v>
      </c>
      <c r="P239" t="s">
        <v>27</v>
      </c>
      <c r="Q239">
        <v>4</v>
      </c>
      <c r="R239">
        <v>199</v>
      </c>
    </row>
    <row r="240" spans="1:18" x14ac:dyDescent="0.3">
      <c r="A240" t="s">
        <v>299</v>
      </c>
      <c r="B240" s="1">
        <v>45288</v>
      </c>
      <c r="C240">
        <v>2023</v>
      </c>
      <c r="D240" t="s">
        <v>39</v>
      </c>
      <c r="E240" t="s">
        <v>52</v>
      </c>
      <c r="F240" t="s">
        <v>21</v>
      </c>
      <c r="G240">
        <v>23</v>
      </c>
      <c r="H240" t="s">
        <v>22</v>
      </c>
      <c r="I240" t="s">
        <v>37</v>
      </c>
      <c r="J240">
        <v>199</v>
      </c>
      <c r="K240" t="s">
        <v>53</v>
      </c>
      <c r="L240">
        <v>41</v>
      </c>
      <c r="M240" t="s">
        <v>41</v>
      </c>
      <c r="N240" t="s">
        <v>58</v>
      </c>
      <c r="O240">
        <v>18</v>
      </c>
      <c r="P240" t="s">
        <v>27</v>
      </c>
      <c r="Q240">
        <v>4</v>
      </c>
      <c r="R240">
        <v>199</v>
      </c>
    </row>
    <row r="241" spans="1:18" x14ac:dyDescent="0.3">
      <c r="A241" t="s">
        <v>300</v>
      </c>
      <c r="B241" s="1">
        <v>45383</v>
      </c>
      <c r="C241">
        <v>2024</v>
      </c>
      <c r="D241" t="s">
        <v>51</v>
      </c>
      <c r="E241" t="s">
        <v>43</v>
      </c>
      <c r="F241" t="s">
        <v>63</v>
      </c>
      <c r="G241">
        <v>51</v>
      </c>
      <c r="H241" t="s">
        <v>22</v>
      </c>
      <c r="I241" t="s">
        <v>37</v>
      </c>
      <c r="J241">
        <v>199</v>
      </c>
      <c r="K241" t="s">
        <v>75</v>
      </c>
      <c r="L241">
        <v>28</v>
      </c>
      <c r="M241" t="s">
        <v>41</v>
      </c>
      <c r="N241" t="s">
        <v>32</v>
      </c>
      <c r="O241">
        <v>19</v>
      </c>
      <c r="P241" t="s">
        <v>27</v>
      </c>
      <c r="Q241">
        <v>5</v>
      </c>
      <c r="R241">
        <v>199</v>
      </c>
    </row>
    <row r="242" spans="1:18" x14ac:dyDescent="0.3">
      <c r="A242" t="s">
        <v>301</v>
      </c>
      <c r="B242" s="1">
        <v>45115</v>
      </c>
      <c r="C242">
        <v>2023</v>
      </c>
      <c r="D242" t="s">
        <v>85</v>
      </c>
      <c r="E242" t="s">
        <v>35</v>
      </c>
      <c r="F242" t="s">
        <v>63</v>
      </c>
      <c r="G242">
        <v>37</v>
      </c>
      <c r="H242" t="s">
        <v>22</v>
      </c>
      <c r="I242" t="s">
        <v>23</v>
      </c>
      <c r="J242">
        <v>499</v>
      </c>
      <c r="K242" t="s">
        <v>24</v>
      </c>
      <c r="L242">
        <v>31</v>
      </c>
      <c r="M242" t="s">
        <v>45</v>
      </c>
      <c r="N242" t="s">
        <v>55</v>
      </c>
      <c r="O242">
        <v>6</v>
      </c>
      <c r="P242" t="s">
        <v>27</v>
      </c>
      <c r="Q242">
        <v>4</v>
      </c>
      <c r="R242">
        <v>499</v>
      </c>
    </row>
    <row r="243" spans="1:18" x14ac:dyDescent="0.3">
      <c r="A243" t="s">
        <v>302</v>
      </c>
      <c r="B243" s="1">
        <v>45736</v>
      </c>
      <c r="C243">
        <v>2025</v>
      </c>
      <c r="D243" t="s">
        <v>66</v>
      </c>
      <c r="E243" t="s">
        <v>35</v>
      </c>
      <c r="F243" t="s">
        <v>29</v>
      </c>
      <c r="G243">
        <v>41</v>
      </c>
      <c r="H243" t="s">
        <v>36</v>
      </c>
      <c r="I243" t="s">
        <v>23</v>
      </c>
      <c r="J243">
        <v>499</v>
      </c>
      <c r="K243" t="s">
        <v>40</v>
      </c>
      <c r="L243">
        <v>54</v>
      </c>
      <c r="M243" t="s">
        <v>25</v>
      </c>
      <c r="N243" t="s">
        <v>26</v>
      </c>
      <c r="O243">
        <v>14</v>
      </c>
      <c r="P243" t="s">
        <v>27</v>
      </c>
      <c r="Q243">
        <v>4</v>
      </c>
      <c r="R243">
        <v>499</v>
      </c>
    </row>
    <row r="244" spans="1:18" x14ac:dyDescent="0.3">
      <c r="A244" t="s">
        <v>303</v>
      </c>
      <c r="B244" s="1">
        <v>45452</v>
      </c>
      <c r="C244">
        <v>2024</v>
      </c>
      <c r="D244" t="s">
        <v>69</v>
      </c>
      <c r="E244" t="s">
        <v>20</v>
      </c>
      <c r="F244" t="s">
        <v>21</v>
      </c>
      <c r="G244">
        <v>27</v>
      </c>
      <c r="H244" t="s">
        <v>36</v>
      </c>
      <c r="I244" t="s">
        <v>48</v>
      </c>
      <c r="J244">
        <v>649</v>
      </c>
      <c r="K244" t="s">
        <v>40</v>
      </c>
      <c r="L244">
        <v>40</v>
      </c>
      <c r="M244" t="s">
        <v>45</v>
      </c>
      <c r="N244" t="s">
        <v>32</v>
      </c>
      <c r="O244">
        <v>11</v>
      </c>
      <c r="P244" t="s">
        <v>27</v>
      </c>
      <c r="Q244">
        <v>3</v>
      </c>
      <c r="R244">
        <v>649</v>
      </c>
    </row>
    <row r="245" spans="1:18" x14ac:dyDescent="0.3">
      <c r="A245" t="s">
        <v>304</v>
      </c>
      <c r="B245" s="1">
        <v>44893</v>
      </c>
      <c r="C245">
        <v>2022</v>
      </c>
      <c r="D245" t="s">
        <v>19</v>
      </c>
      <c r="E245" t="s">
        <v>20</v>
      </c>
      <c r="F245" t="s">
        <v>29</v>
      </c>
      <c r="G245">
        <v>24</v>
      </c>
      <c r="H245" t="s">
        <v>22</v>
      </c>
      <c r="I245" t="s">
        <v>37</v>
      </c>
      <c r="J245">
        <v>199</v>
      </c>
      <c r="K245" t="s">
        <v>75</v>
      </c>
      <c r="L245">
        <v>26</v>
      </c>
      <c r="M245" t="s">
        <v>25</v>
      </c>
      <c r="N245" t="s">
        <v>26</v>
      </c>
      <c r="O245">
        <v>30</v>
      </c>
      <c r="P245" t="s">
        <v>27</v>
      </c>
      <c r="Q245">
        <v>4</v>
      </c>
      <c r="R245">
        <v>199</v>
      </c>
    </row>
    <row r="246" spans="1:18" x14ac:dyDescent="0.3">
      <c r="A246" t="s">
        <v>305</v>
      </c>
      <c r="B246" s="1">
        <v>45759</v>
      </c>
      <c r="C246">
        <v>2025</v>
      </c>
      <c r="D246" t="s">
        <v>51</v>
      </c>
      <c r="E246" t="s">
        <v>52</v>
      </c>
      <c r="F246" t="s">
        <v>63</v>
      </c>
      <c r="G246">
        <v>35</v>
      </c>
      <c r="H246" t="s">
        <v>36</v>
      </c>
      <c r="I246" t="s">
        <v>23</v>
      </c>
      <c r="J246">
        <v>499</v>
      </c>
      <c r="K246" t="s">
        <v>49</v>
      </c>
      <c r="L246">
        <v>36</v>
      </c>
      <c r="M246" t="s">
        <v>41</v>
      </c>
      <c r="N246" t="s">
        <v>58</v>
      </c>
      <c r="O246">
        <v>6</v>
      </c>
      <c r="P246" t="s">
        <v>27</v>
      </c>
      <c r="Q246">
        <v>3</v>
      </c>
      <c r="R246">
        <v>499</v>
      </c>
    </row>
    <row r="247" spans="1:18" x14ac:dyDescent="0.3">
      <c r="A247" t="s">
        <v>306</v>
      </c>
      <c r="B247" s="1">
        <v>46022</v>
      </c>
      <c r="C247">
        <v>2025</v>
      </c>
      <c r="D247" t="s">
        <v>39</v>
      </c>
      <c r="E247" t="s">
        <v>35</v>
      </c>
      <c r="F247" t="s">
        <v>29</v>
      </c>
      <c r="G247">
        <v>40</v>
      </c>
      <c r="H247" t="s">
        <v>22</v>
      </c>
      <c r="I247" t="s">
        <v>23</v>
      </c>
      <c r="J247">
        <v>499</v>
      </c>
      <c r="K247" t="s">
        <v>75</v>
      </c>
      <c r="L247">
        <v>48</v>
      </c>
      <c r="M247" t="s">
        <v>41</v>
      </c>
      <c r="N247" t="s">
        <v>26</v>
      </c>
      <c r="O247">
        <v>2</v>
      </c>
      <c r="P247" t="s">
        <v>27</v>
      </c>
      <c r="Q247">
        <v>3</v>
      </c>
      <c r="R247">
        <v>499</v>
      </c>
    </row>
    <row r="248" spans="1:18" x14ac:dyDescent="0.3">
      <c r="A248" t="s">
        <v>307</v>
      </c>
      <c r="B248" s="1">
        <v>45916</v>
      </c>
      <c r="C248">
        <v>2025</v>
      </c>
      <c r="D248" t="s">
        <v>60</v>
      </c>
      <c r="E248" t="s">
        <v>35</v>
      </c>
      <c r="F248" t="s">
        <v>63</v>
      </c>
      <c r="G248">
        <v>48</v>
      </c>
      <c r="H248" t="s">
        <v>36</v>
      </c>
      <c r="I248" t="s">
        <v>37</v>
      </c>
      <c r="J248">
        <v>199</v>
      </c>
      <c r="K248" t="s">
        <v>44</v>
      </c>
      <c r="L248">
        <v>40</v>
      </c>
      <c r="M248" t="s">
        <v>41</v>
      </c>
      <c r="N248" t="s">
        <v>55</v>
      </c>
      <c r="O248">
        <v>46</v>
      </c>
      <c r="P248" t="s">
        <v>27</v>
      </c>
      <c r="Q248">
        <v>5</v>
      </c>
      <c r="R248">
        <v>199</v>
      </c>
    </row>
    <row r="249" spans="1:18" x14ac:dyDescent="0.3">
      <c r="A249" t="s">
        <v>308</v>
      </c>
      <c r="B249" s="1">
        <v>45344</v>
      </c>
      <c r="C249">
        <v>2024</v>
      </c>
      <c r="D249" t="s">
        <v>111</v>
      </c>
      <c r="E249" t="s">
        <v>20</v>
      </c>
      <c r="F249" t="s">
        <v>21</v>
      </c>
      <c r="G249">
        <v>22</v>
      </c>
      <c r="H249" t="s">
        <v>36</v>
      </c>
      <c r="I249" t="s">
        <v>37</v>
      </c>
      <c r="J249">
        <v>199</v>
      </c>
      <c r="K249" t="s">
        <v>40</v>
      </c>
      <c r="L249">
        <v>53</v>
      </c>
      <c r="M249" t="s">
        <v>31</v>
      </c>
      <c r="N249" t="s">
        <v>58</v>
      </c>
      <c r="O249">
        <v>36</v>
      </c>
      <c r="P249" t="s">
        <v>27</v>
      </c>
      <c r="Q249">
        <v>5</v>
      </c>
      <c r="R249">
        <v>199</v>
      </c>
    </row>
    <row r="250" spans="1:18" x14ac:dyDescent="0.3">
      <c r="A250" t="s">
        <v>309</v>
      </c>
      <c r="B250" s="1">
        <v>45629</v>
      </c>
      <c r="C250">
        <v>2024</v>
      </c>
      <c r="D250" t="s">
        <v>39</v>
      </c>
      <c r="E250" t="s">
        <v>35</v>
      </c>
      <c r="F250" t="s">
        <v>29</v>
      </c>
      <c r="G250">
        <v>55</v>
      </c>
      <c r="H250" t="s">
        <v>22</v>
      </c>
      <c r="I250" t="s">
        <v>37</v>
      </c>
      <c r="J250">
        <v>199</v>
      </c>
      <c r="K250" t="s">
        <v>49</v>
      </c>
      <c r="L250">
        <v>33</v>
      </c>
      <c r="M250" t="s">
        <v>25</v>
      </c>
      <c r="N250" t="s">
        <v>55</v>
      </c>
      <c r="O250">
        <v>39</v>
      </c>
      <c r="P250" t="s">
        <v>27</v>
      </c>
      <c r="Q250">
        <v>4</v>
      </c>
      <c r="R250">
        <v>199</v>
      </c>
    </row>
    <row r="251" spans="1:18" x14ac:dyDescent="0.3">
      <c r="A251" t="s">
        <v>310</v>
      </c>
      <c r="B251" s="1">
        <v>44627</v>
      </c>
      <c r="C251">
        <v>2022</v>
      </c>
      <c r="D251" t="s">
        <v>66</v>
      </c>
      <c r="E251" t="s">
        <v>43</v>
      </c>
      <c r="F251" t="s">
        <v>63</v>
      </c>
      <c r="G251">
        <v>23</v>
      </c>
      <c r="H251" t="s">
        <v>22</v>
      </c>
      <c r="I251" t="s">
        <v>23</v>
      </c>
      <c r="J251">
        <v>499</v>
      </c>
      <c r="K251" t="s">
        <v>49</v>
      </c>
      <c r="L251">
        <v>59</v>
      </c>
      <c r="M251" t="s">
        <v>31</v>
      </c>
      <c r="N251" t="s">
        <v>55</v>
      </c>
      <c r="O251">
        <v>39</v>
      </c>
      <c r="P251" t="s">
        <v>27</v>
      </c>
      <c r="Q251">
        <v>5</v>
      </c>
      <c r="R251">
        <v>499</v>
      </c>
    </row>
    <row r="252" spans="1:18" x14ac:dyDescent="0.3">
      <c r="A252" t="s">
        <v>311</v>
      </c>
      <c r="B252" s="1">
        <v>45370</v>
      </c>
      <c r="C252">
        <v>2024</v>
      </c>
      <c r="D252" t="s">
        <v>66</v>
      </c>
      <c r="E252" t="s">
        <v>20</v>
      </c>
      <c r="F252" t="s">
        <v>29</v>
      </c>
      <c r="G252">
        <v>29</v>
      </c>
      <c r="H252" t="s">
        <v>22</v>
      </c>
      <c r="I252" t="s">
        <v>37</v>
      </c>
      <c r="J252">
        <v>199</v>
      </c>
      <c r="K252" t="s">
        <v>67</v>
      </c>
      <c r="L252">
        <v>42</v>
      </c>
      <c r="M252" t="s">
        <v>45</v>
      </c>
      <c r="N252" t="s">
        <v>58</v>
      </c>
      <c r="O252">
        <v>9</v>
      </c>
      <c r="P252" t="s">
        <v>27</v>
      </c>
      <c r="Q252">
        <v>5</v>
      </c>
      <c r="R252">
        <v>199</v>
      </c>
    </row>
    <row r="253" spans="1:18" x14ac:dyDescent="0.3">
      <c r="A253" t="s">
        <v>312</v>
      </c>
      <c r="B253" s="1">
        <v>44835</v>
      </c>
      <c r="C253">
        <v>2022</v>
      </c>
      <c r="D253" t="s">
        <v>47</v>
      </c>
      <c r="E253" t="s">
        <v>35</v>
      </c>
      <c r="F253" t="s">
        <v>29</v>
      </c>
      <c r="G253">
        <v>43</v>
      </c>
      <c r="H253" t="s">
        <v>22</v>
      </c>
      <c r="I253" t="s">
        <v>48</v>
      </c>
      <c r="J253">
        <v>649</v>
      </c>
      <c r="K253" t="s">
        <v>49</v>
      </c>
      <c r="L253">
        <v>39</v>
      </c>
      <c r="M253" t="s">
        <v>41</v>
      </c>
      <c r="N253" t="s">
        <v>32</v>
      </c>
      <c r="O253">
        <v>18</v>
      </c>
      <c r="P253" t="s">
        <v>27</v>
      </c>
      <c r="Q253">
        <v>4</v>
      </c>
      <c r="R253">
        <v>649</v>
      </c>
    </row>
    <row r="254" spans="1:18" x14ac:dyDescent="0.3">
      <c r="A254" t="s">
        <v>313</v>
      </c>
      <c r="B254" s="1">
        <v>44798</v>
      </c>
      <c r="C254">
        <v>2022</v>
      </c>
      <c r="D254" t="s">
        <v>34</v>
      </c>
      <c r="E254" t="s">
        <v>52</v>
      </c>
      <c r="F254" t="s">
        <v>21</v>
      </c>
      <c r="G254">
        <v>50</v>
      </c>
      <c r="H254" t="s">
        <v>36</v>
      </c>
      <c r="I254" t="s">
        <v>37</v>
      </c>
      <c r="J254">
        <v>199</v>
      </c>
      <c r="K254" t="s">
        <v>30</v>
      </c>
      <c r="L254">
        <v>29</v>
      </c>
      <c r="M254" t="s">
        <v>45</v>
      </c>
      <c r="N254" t="s">
        <v>32</v>
      </c>
      <c r="O254">
        <v>36</v>
      </c>
      <c r="P254" t="s">
        <v>27</v>
      </c>
      <c r="Q254">
        <v>5</v>
      </c>
      <c r="R254">
        <v>199</v>
      </c>
    </row>
    <row r="255" spans="1:18" x14ac:dyDescent="0.3">
      <c r="A255" t="s">
        <v>314</v>
      </c>
      <c r="B255" s="1">
        <v>45415</v>
      </c>
      <c r="C255">
        <v>2024</v>
      </c>
      <c r="D255" t="s">
        <v>79</v>
      </c>
      <c r="E255" t="s">
        <v>20</v>
      </c>
      <c r="F255" t="s">
        <v>63</v>
      </c>
      <c r="G255">
        <v>40</v>
      </c>
      <c r="H255" t="s">
        <v>36</v>
      </c>
      <c r="I255" t="s">
        <v>48</v>
      </c>
      <c r="J255">
        <v>649</v>
      </c>
      <c r="K255" t="s">
        <v>24</v>
      </c>
      <c r="L255">
        <v>32</v>
      </c>
      <c r="M255" t="s">
        <v>41</v>
      </c>
      <c r="N255" t="s">
        <v>32</v>
      </c>
      <c r="O255">
        <v>43</v>
      </c>
      <c r="P255" t="s">
        <v>27</v>
      </c>
      <c r="Q255">
        <v>3</v>
      </c>
      <c r="R255">
        <v>649</v>
      </c>
    </row>
    <row r="256" spans="1:18" x14ac:dyDescent="0.3">
      <c r="A256" t="s">
        <v>315</v>
      </c>
      <c r="B256" s="1">
        <v>44998</v>
      </c>
      <c r="C256">
        <v>2023</v>
      </c>
      <c r="D256" t="s">
        <v>66</v>
      </c>
      <c r="E256" t="s">
        <v>43</v>
      </c>
      <c r="F256" t="s">
        <v>63</v>
      </c>
      <c r="G256">
        <v>26</v>
      </c>
      <c r="H256" t="s">
        <v>22</v>
      </c>
      <c r="I256" t="s">
        <v>48</v>
      </c>
      <c r="J256">
        <v>649</v>
      </c>
      <c r="K256" t="s">
        <v>40</v>
      </c>
      <c r="L256">
        <v>32</v>
      </c>
      <c r="M256" t="s">
        <v>31</v>
      </c>
      <c r="N256" t="s">
        <v>55</v>
      </c>
      <c r="O256">
        <v>42</v>
      </c>
      <c r="P256" t="s">
        <v>27</v>
      </c>
      <c r="Q256">
        <v>4</v>
      </c>
      <c r="R256">
        <v>649</v>
      </c>
    </row>
    <row r="257" spans="1:18" x14ac:dyDescent="0.3">
      <c r="A257" t="s">
        <v>316</v>
      </c>
      <c r="B257" s="1">
        <v>44835</v>
      </c>
      <c r="C257">
        <v>2022</v>
      </c>
      <c r="D257" t="s">
        <v>47</v>
      </c>
      <c r="E257" t="s">
        <v>20</v>
      </c>
      <c r="F257" t="s">
        <v>21</v>
      </c>
      <c r="G257">
        <v>34</v>
      </c>
      <c r="H257" t="s">
        <v>36</v>
      </c>
      <c r="I257" t="s">
        <v>37</v>
      </c>
      <c r="J257">
        <v>199</v>
      </c>
      <c r="K257" t="s">
        <v>24</v>
      </c>
      <c r="L257">
        <v>29</v>
      </c>
      <c r="M257" t="s">
        <v>25</v>
      </c>
      <c r="N257" t="s">
        <v>55</v>
      </c>
      <c r="O257">
        <v>29</v>
      </c>
      <c r="P257" t="s">
        <v>27</v>
      </c>
      <c r="Q257">
        <v>5</v>
      </c>
      <c r="R257">
        <v>199</v>
      </c>
    </row>
    <row r="258" spans="1:18" x14ac:dyDescent="0.3">
      <c r="A258" t="s">
        <v>317</v>
      </c>
      <c r="B258" s="1">
        <v>44676</v>
      </c>
      <c r="C258">
        <v>2022</v>
      </c>
      <c r="D258" t="s">
        <v>51</v>
      </c>
      <c r="E258" t="s">
        <v>43</v>
      </c>
      <c r="F258" t="s">
        <v>21</v>
      </c>
      <c r="G258">
        <v>30</v>
      </c>
      <c r="H258" t="s">
        <v>22</v>
      </c>
      <c r="I258" t="s">
        <v>23</v>
      </c>
      <c r="J258">
        <v>499</v>
      </c>
      <c r="K258" t="s">
        <v>53</v>
      </c>
      <c r="L258">
        <v>23</v>
      </c>
      <c r="M258" t="s">
        <v>45</v>
      </c>
      <c r="N258" t="s">
        <v>58</v>
      </c>
      <c r="O258">
        <v>21</v>
      </c>
      <c r="P258" t="s">
        <v>27</v>
      </c>
      <c r="Q258">
        <v>5</v>
      </c>
      <c r="R258">
        <v>499</v>
      </c>
    </row>
    <row r="259" spans="1:18" x14ac:dyDescent="0.3">
      <c r="A259" t="s">
        <v>318</v>
      </c>
      <c r="B259" s="1">
        <v>45697</v>
      </c>
      <c r="C259">
        <v>2025</v>
      </c>
      <c r="D259" t="s">
        <v>111</v>
      </c>
      <c r="E259" t="s">
        <v>20</v>
      </c>
      <c r="F259" t="s">
        <v>21</v>
      </c>
      <c r="G259">
        <v>18</v>
      </c>
      <c r="H259" t="s">
        <v>36</v>
      </c>
      <c r="I259" t="s">
        <v>37</v>
      </c>
      <c r="J259">
        <v>199</v>
      </c>
      <c r="K259" t="s">
        <v>49</v>
      </c>
      <c r="L259">
        <v>31</v>
      </c>
      <c r="M259" t="s">
        <v>31</v>
      </c>
      <c r="N259" t="s">
        <v>32</v>
      </c>
      <c r="O259">
        <v>30</v>
      </c>
      <c r="P259" t="s">
        <v>73</v>
      </c>
      <c r="Q259">
        <v>3</v>
      </c>
      <c r="R259">
        <v>0</v>
      </c>
    </row>
    <row r="260" spans="1:18" x14ac:dyDescent="0.3">
      <c r="A260" t="s">
        <v>319</v>
      </c>
      <c r="B260" s="1">
        <v>45390</v>
      </c>
      <c r="C260">
        <v>2024</v>
      </c>
      <c r="D260" t="s">
        <v>51</v>
      </c>
      <c r="E260" t="s">
        <v>52</v>
      </c>
      <c r="F260" t="s">
        <v>29</v>
      </c>
      <c r="G260">
        <v>39</v>
      </c>
      <c r="H260" t="s">
        <v>36</v>
      </c>
      <c r="I260" t="s">
        <v>37</v>
      </c>
      <c r="J260">
        <v>199</v>
      </c>
      <c r="K260" t="s">
        <v>75</v>
      </c>
      <c r="L260">
        <v>32</v>
      </c>
      <c r="M260" t="s">
        <v>45</v>
      </c>
      <c r="N260" t="s">
        <v>32</v>
      </c>
      <c r="O260">
        <v>39</v>
      </c>
      <c r="P260" t="s">
        <v>73</v>
      </c>
      <c r="Q260">
        <v>2</v>
      </c>
      <c r="R260">
        <v>0</v>
      </c>
    </row>
    <row r="261" spans="1:18" x14ac:dyDescent="0.3">
      <c r="A261" t="s">
        <v>320</v>
      </c>
      <c r="B261" s="1">
        <v>44975</v>
      </c>
      <c r="C261">
        <v>2023</v>
      </c>
      <c r="D261" t="s">
        <v>111</v>
      </c>
      <c r="E261" t="s">
        <v>20</v>
      </c>
      <c r="F261" t="s">
        <v>63</v>
      </c>
      <c r="G261">
        <v>50</v>
      </c>
      <c r="H261" t="s">
        <v>22</v>
      </c>
      <c r="I261" t="s">
        <v>48</v>
      </c>
      <c r="J261">
        <v>649</v>
      </c>
      <c r="K261" t="s">
        <v>57</v>
      </c>
      <c r="L261">
        <v>45</v>
      </c>
      <c r="M261" t="s">
        <v>25</v>
      </c>
      <c r="N261" t="s">
        <v>58</v>
      </c>
      <c r="O261">
        <v>32</v>
      </c>
      <c r="P261" t="s">
        <v>27</v>
      </c>
      <c r="Q261">
        <v>5</v>
      </c>
      <c r="R261">
        <v>649</v>
      </c>
    </row>
    <row r="262" spans="1:18" x14ac:dyDescent="0.3">
      <c r="A262" t="s">
        <v>321</v>
      </c>
      <c r="B262" s="1">
        <v>45646</v>
      </c>
      <c r="C262">
        <v>2024</v>
      </c>
      <c r="D262" t="s">
        <v>39</v>
      </c>
      <c r="E262" t="s">
        <v>35</v>
      </c>
      <c r="F262" t="s">
        <v>29</v>
      </c>
      <c r="G262">
        <v>28</v>
      </c>
      <c r="H262" t="s">
        <v>22</v>
      </c>
      <c r="I262" t="s">
        <v>37</v>
      </c>
      <c r="J262">
        <v>199</v>
      </c>
      <c r="K262" t="s">
        <v>57</v>
      </c>
      <c r="L262">
        <v>44</v>
      </c>
      <c r="M262" t="s">
        <v>31</v>
      </c>
      <c r="N262" t="s">
        <v>32</v>
      </c>
      <c r="O262">
        <v>47</v>
      </c>
      <c r="P262" t="s">
        <v>27</v>
      </c>
      <c r="Q262">
        <v>4</v>
      </c>
      <c r="R262">
        <v>199</v>
      </c>
    </row>
    <row r="263" spans="1:18" x14ac:dyDescent="0.3">
      <c r="A263" t="s">
        <v>322</v>
      </c>
      <c r="B263" s="1">
        <v>45994</v>
      </c>
      <c r="C263">
        <v>2025</v>
      </c>
      <c r="D263" t="s">
        <v>39</v>
      </c>
      <c r="E263" t="s">
        <v>20</v>
      </c>
      <c r="F263" t="s">
        <v>63</v>
      </c>
      <c r="G263">
        <v>39</v>
      </c>
      <c r="H263" t="s">
        <v>22</v>
      </c>
      <c r="I263" t="s">
        <v>37</v>
      </c>
      <c r="J263">
        <v>199</v>
      </c>
      <c r="K263" t="s">
        <v>49</v>
      </c>
      <c r="L263">
        <v>43</v>
      </c>
      <c r="M263" t="s">
        <v>41</v>
      </c>
      <c r="N263" t="s">
        <v>58</v>
      </c>
      <c r="O263">
        <v>31</v>
      </c>
      <c r="P263" t="s">
        <v>27</v>
      </c>
      <c r="Q263">
        <v>4</v>
      </c>
      <c r="R263">
        <v>199</v>
      </c>
    </row>
    <row r="264" spans="1:18" x14ac:dyDescent="0.3">
      <c r="A264" t="s">
        <v>323</v>
      </c>
      <c r="B264" s="1">
        <v>44661</v>
      </c>
      <c r="C264">
        <v>2022</v>
      </c>
      <c r="D264" t="s">
        <v>51</v>
      </c>
      <c r="E264" t="s">
        <v>43</v>
      </c>
      <c r="F264" t="s">
        <v>21</v>
      </c>
      <c r="G264">
        <v>32</v>
      </c>
      <c r="H264" t="s">
        <v>22</v>
      </c>
      <c r="I264" t="s">
        <v>23</v>
      </c>
      <c r="J264">
        <v>499</v>
      </c>
      <c r="K264" t="s">
        <v>57</v>
      </c>
      <c r="L264">
        <v>25</v>
      </c>
      <c r="M264" t="s">
        <v>31</v>
      </c>
      <c r="N264" t="s">
        <v>26</v>
      </c>
      <c r="O264">
        <v>3</v>
      </c>
      <c r="P264" t="s">
        <v>27</v>
      </c>
      <c r="Q264">
        <v>5</v>
      </c>
      <c r="R264">
        <v>499</v>
      </c>
    </row>
    <row r="265" spans="1:18" x14ac:dyDescent="0.3">
      <c r="A265" t="s">
        <v>324</v>
      </c>
      <c r="B265" s="1">
        <v>45226</v>
      </c>
      <c r="C265">
        <v>2023</v>
      </c>
      <c r="D265" t="s">
        <v>47</v>
      </c>
      <c r="E265" t="s">
        <v>52</v>
      </c>
      <c r="F265" t="s">
        <v>29</v>
      </c>
      <c r="G265">
        <v>24</v>
      </c>
      <c r="H265" t="s">
        <v>22</v>
      </c>
      <c r="I265" t="s">
        <v>37</v>
      </c>
      <c r="J265">
        <v>199</v>
      </c>
      <c r="K265" t="s">
        <v>40</v>
      </c>
      <c r="L265">
        <v>32</v>
      </c>
      <c r="M265" t="s">
        <v>41</v>
      </c>
      <c r="N265" t="s">
        <v>32</v>
      </c>
      <c r="O265">
        <v>22</v>
      </c>
      <c r="P265" t="s">
        <v>27</v>
      </c>
      <c r="Q265">
        <v>5</v>
      </c>
      <c r="R265">
        <v>199</v>
      </c>
    </row>
    <row r="266" spans="1:18" x14ac:dyDescent="0.3">
      <c r="A266" t="s">
        <v>325</v>
      </c>
      <c r="B266" s="1">
        <v>45204</v>
      </c>
      <c r="C266">
        <v>2023</v>
      </c>
      <c r="D266" t="s">
        <v>47</v>
      </c>
      <c r="E266" t="s">
        <v>52</v>
      </c>
      <c r="F266" t="s">
        <v>21</v>
      </c>
      <c r="G266">
        <v>28</v>
      </c>
      <c r="H266" t="s">
        <v>22</v>
      </c>
      <c r="I266" t="s">
        <v>23</v>
      </c>
      <c r="J266">
        <v>499</v>
      </c>
      <c r="K266" t="s">
        <v>49</v>
      </c>
      <c r="L266">
        <v>25</v>
      </c>
      <c r="M266" t="s">
        <v>41</v>
      </c>
      <c r="N266" t="s">
        <v>58</v>
      </c>
      <c r="O266">
        <v>33</v>
      </c>
      <c r="P266" t="s">
        <v>27</v>
      </c>
      <c r="Q266">
        <v>5</v>
      </c>
      <c r="R266">
        <v>499</v>
      </c>
    </row>
    <row r="267" spans="1:18" x14ac:dyDescent="0.3">
      <c r="A267" t="s">
        <v>326</v>
      </c>
      <c r="B267" s="1">
        <v>45767</v>
      </c>
      <c r="C267">
        <v>2025</v>
      </c>
      <c r="D267" t="s">
        <v>51</v>
      </c>
      <c r="E267" t="s">
        <v>20</v>
      </c>
      <c r="F267" t="s">
        <v>21</v>
      </c>
      <c r="G267">
        <v>48</v>
      </c>
      <c r="H267" t="s">
        <v>22</v>
      </c>
      <c r="I267" t="s">
        <v>23</v>
      </c>
      <c r="J267">
        <v>499</v>
      </c>
      <c r="K267" t="s">
        <v>49</v>
      </c>
      <c r="L267">
        <v>40</v>
      </c>
      <c r="M267" t="s">
        <v>41</v>
      </c>
      <c r="N267" t="s">
        <v>55</v>
      </c>
      <c r="O267">
        <v>1</v>
      </c>
      <c r="P267" t="s">
        <v>27</v>
      </c>
      <c r="Q267">
        <v>3</v>
      </c>
      <c r="R267">
        <v>499</v>
      </c>
    </row>
    <row r="268" spans="1:18" x14ac:dyDescent="0.3">
      <c r="A268" t="s">
        <v>327</v>
      </c>
      <c r="B268" s="1">
        <v>45105</v>
      </c>
      <c r="C268">
        <v>2023</v>
      </c>
      <c r="D268" t="s">
        <v>69</v>
      </c>
      <c r="E268" t="s">
        <v>43</v>
      </c>
      <c r="F268" t="s">
        <v>29</v>
      </c>
      <c r="G268">
        <v>34</v>
      </c>
      <c r="H268" t="s">
        <v>22</v>
      </c>
      <c r="I268" t="s">
        <v>37</v>
      </c>
      <c r="J268">
        <v>199</v>
      </c>
      <c r="K268" t="s">
        <v>24</v>
      </c>
      <c r="L268">
        <v>25</v>
      </c>
      <c r="M268" t="s">
        <v>45</v>
      </c>
      <c r="N268" t="s">
        <v>58</v>
      </c>
      <c r="O268">
        <v>17</v>
      </c>
      <c r="P268" t="s">
        <v>27</v>
      </c>
      <c r="Q268">
        <v>5</v>
      </c>
      <c r="R268">
        <v>199</v>
      </c>
    </row>
    <row r="269" spans="1:18" x14ac:dyDescent="0.3">
      <c r="A269" t="s">
        <v>328</v>
      </c>
      <c r="B269" s="1">
        <v>45470</v>
      </c>
      <c r="C269">
        <v>2024</v>
      </c>
      <c r="D269" t="s">
        <v>69</v>
      </c>
      <c r="E269" t="s">
        <v>52</v>
      </c>
      <c r="F269" t="s">
        <v>63</v>
      </c>
      <c r="G269">
        <v>43</v>
      </c>
      <c r="H269" t="s">
        <v>22</v>
      </c>
      <c r="I269" t="s">
        <v>23</v>
      </c>
      <c r="J269">
        <v>499</v>
      </c>
      <c r="K269" t="s">
        <v>57</v>
      </c>
      <c r="L269">
        <v>30</v>
      </c>
      <c r="M269" t="s">
        <v>25</v>
      </c>
      <c r="N269" t="s">
        <v>32</v>
      </c>
      <c r="O269">
        <v>26</v>
      </c>
      <c r="P269" t="s">
        <v>27</v>
      </c>
      <c r="Q269">
        <v>3</v>
      </c>
      <c r="R269">
        <v>499</v>
      </c>
    </row>
    <row r="270" spans="1:18" x14ac:dyDescent="0.3">
      <c r="A270" t="s">
        <v>329</v>
      </c>
      <c r="B270" s="1">
        <v>45859</v>
      </c>
      <c r="C270">
        <v>2025</v>
      </c>
      <c r="D270" t="s">
        <v>85</v>
      </c>
      <c r="E270" t="s">
        <v>20</v>
      </c>
      <c r="F270" t="s">
        <v>29</v>
      </c>
      <c r="G270">
        <v>42</v>
      </c>
      <c r="H270" t="s">
        <v>36</v>
      </c>
      <c r="I270" t="s">
        <v>23</v>
      </c>
      <c r="J270">
        <v>499</v>
      </c>
      <c r="K270" t="s">
        <v>40</v>
      </c>
      <c r="L270">
        <v>47</v>
      </c>
      <c r="M270" t="s">
        <v>41</v>
      </c>
      <c r="N270" t="s">
        <v>26</v>
      </c>
      <c r="O270">
        <v>43</v>
      </c>
      <c r="P270" t="s">
        <v>27</v>
      </c>
      <c r="Q270">
        <v>4</v>
      </c>
      <c r="R270">
        <v>499</v>
      </c>
    </row>
    <row r="271" spans="1:18" x14ac:dyDescent="0.3">
      <c r="A271" t="s">
        <v>330</v>
      </c>
      <c r="B271" s="1">
        <v>45515</v>
      </c>
      <c r="C271">
        <v>2024</v>
      </c>
      <c r="D271" t="s">
        <v>34</v>
      </c>
      <c r="E271" t="s">
        <v>20</v>
      </c>
      <c r="F271" t="s">
        <v>63</v>
      </c>
      <c r="G271">
        <v>55</v>
      </c>
      <c r="H271" t="s">
        <v>22</v>
      </c>
      <c r="I271" t="s">
        <v>48</v>
      </c>
      <c r="J271">
        <v>649</v>
      </c>
      <c r="K271" t="s">
        <v>49</v>
      </c>
      <c r="L271">
        <v>60</v>
      </c>
      <c r="M271" t="s">
        <v>41</v>
      </c>
      <c r="N271" t="s">
        <v>55</v>
      </c>
      <c r="O271">
        <v>42</v>
      </c>
      <c r="P271" t="s">
        <v>27</v>
      </c>
      <c r="Q271">
        <v>3</v>
      </c>
      <c r="R271">
        <v>649</v>
      </c>
    </row>
    <row r="272" spans="1:18" x14ac:dyDescent="0.3">
      <c r="A272" t="s">
        <v>331</v>
      </c>
      <c r="B272" s="1">
        <v>45724</v>
      </c>
      <c r="C272">
        <v>2025</v>
      </c>
      <c r="D272" t="s">
        <v>66</v>
      </c>
      <c r="E272" t="s">
        <v>52</v>
      </c>
      <c r="F272" t="s">
        <v>63</v>
      </c>
      <c r="G272">
        <v>32</v>
      </c>
      <c r="H272" t="s">
        <v>36</v>
      </c>
      <c r="I272" t="s">
        <v>37</v>
      </c>
      <c r="J272">
        <v>199</v>
      </c>
      <c r="K272" t="s">
        <v>67</v>
      </c>
      <c r="L272">
        <v>52</v>
      </c>
      <c r="M272" t="s">
        <v>45</v>
      </c>
      <c r="N272" t="s">
        <v>58</v>
      </c>
      <c r="O272">
        <v>2</v>
      </c>
      <c r="P272" t="s">
        <v>27</v>
      </c>
      <c r="Q272">
        <v>5</v>
      </c>
      <c r="R272">
        <v>199</v>
      </c>
    </row>
    <row r="273" spans="1:18" x14ac:dyDescent="0.3">
      <c r="A273" t="s">
        <v>332</v>
      </c>
      <c r="B273" s="1">
        <v>46021</v>
      </c>
      <c r="C273">
        <v>2025</v>
      </c>
      <c r="D273" t="s">
        <v>39</v>
      </c>
      <c r="E273" t="s">
        <v>43</v>
      </c>
      <c r="F273" t="s">
        <v>63</v>
      </c>
      <c r="G273">
        <v>29</v>
      </c>
      <c r="H273" t="s">
        <v>36</v>
      </c>
      <c r="I273" t="s">
        <v>23</v>
      </c>
      <c r="J273">
        <v>499</v>
      </c>
      <c r="K273" t="s">
        <v>67</v>
      </c>
      <c r="L273">
        <v>46</v>
      </c>
      <c r="M273" t="s">
        <v>31</v>
      </c>
      <c r="N273" t="s">
        <v>58</v>
      </c>
      <c r="O273">
        <v>8</v>
      </c>
      <c r="P273" t="s">
        <v>27</v>
      </c>
      <c r="Q273">
        <v>5</v>
      </c>
      <c r="R273">
        <v>499</v>
      </c>
    </row>
    <row r="274" spans="1:18" x14ac:dyDescent="0.3">
      <c r="A274" t="s">
        <v>333</v>
      </c>
      <c r="B274" s="1">
        <v>45291</v>
      </c>
      <c r="C274">
        <v>2023</v>
      </c>
      <c r="D274" t="s">
        <v>39</v>
      </c>
      <c r="E274" t="s">
        <v>43</v>
      </c>
      <c r="F274" t="s">
        <v>21</v>
      </c>
      <c r="G274">
        <v>38</v>
      </c>
      <c r="H274" t="s">
        <v>36</v>
      </c>
      <c r="I274" t="s">
        <v>37</v>
      </c>
      <c r="J274">
        <v>199</v>
      </c>
      <c r="K274" t="s">
        <v>49</v>
      </c>
      <c r="L274">
        <v>27</v>
      </c>
      <c r="M274" t="s">
        <v>31</v>
      </c>
      <c r="N274" t="s">
        <v>32</v>
      </c>
      <c r="O274">
        <v>11</v>
      </c>
      <c r="P274" t="s">
        <v>27</v>
      </c>
      <c r="Q274">
        <v>4</v>
      </c>
      <c r="R274">
        <v>199</v>
      </c>
    </row>
    <row r="275" spans="1:18" x14ac:dyDescent="0.3">
      <c r="A275" t="s">
        <v>334</v>
      </c>
      <c r="B275" s="1">
        <v>44896</v>
      </c>
      <c r="C275">
        <v>2022</v>
      </c>
      <c r="D275" t="s">
        <v>39</v>
      </c>
      <c r="E275" t="s">
        <v>52</v>
      </c>
      <c r="F275" t="s">
        <v>21</v>
      </c>
      <c r="G275">
        <v>40</v>
      </c>
      <c r="H275" t="s">
        <v>22</v>
      </c>
      <c r="I275" t="s">
        <v>48</v>
      </c>
      <c r="J275">
        <v>649</v>
      </c>
      <c r="K275" t="s">
        <v>30</v>
      </c>
      <c r="L275">
        <v>30</v>
      </c>
      <c r="M275" t="s">
        <v>31</v>
      </c>
      <c r="N275" t="s">
        <v>32</v>
      </c>
      <c r="O275">
        <v>19</v>
      </c>
      <c r="P275" t="s">
        <v>27</v>
      </c>
      <c r="Q275">
        <v>5</v>
      </c>
      <c r="R275">
        <v>649</v>
      </c>
    </row>
    <row r="276" spans="1:18" x14ac:dyDescent="0.3">
      <c r="A276" t="s">
        <v>335</v>
      </c>
      <c r="B276" s="1">
        <v>45528</v>
      </c>
      <c r="C276">
        <v>2024</v>
      </c>
      <c r="D276" t="s">
        <v>34</v>
      </c>
      <c r="E276" t="s">
        <v>35</v>
      </c>
      <c r="F276" t="s">
        <v>21</v>
      </c>
      <c r="G276">
        <v>46</v>
      </c>
      <c r="H276" t="s">
        <v>36</v>
      </c>
      <c r="I276" t="s">
        <v>23</v>
      </c>
      <c r="J276">
        <v>499</v>
      </c>
      <c r="K276" t="s">
        <v>75</v>
      </c>
      <c r="L276">
        <v>33</v>
      </c>
      <c r="M276" t="s">
        <v>31</v>
      </c>
      <c r="N276" t="s">
        <v>55</v>
      </c>
      <c r="O276">
        <v>38</v>
      </c>
      <c r="P276" t="s">
        <v>27</v>
      </c>
      <c r="Q276">
        <v>5</v>
      </c>
      <c r="R276">
        <v>499</v>
      </c>
    </row>
    <row r="277" spans="1:18" x14ac:dyDescent="0.3">
      <c r="A277" t="s">
        <v>336</v>
      </c>
      <c r="B277" s="1">
        <v>44949</v>
      </c>
      <c r="C277">
        <v>2023</v>
      </c>
      <c r="D277" t="s">
        <v>62</v>
      </c>
      <c r="E277" t="s">
        <v>43</v>
      </c>
      <c r="F277" t="s">
        <v>21</v>
      </c>
      <c r="G277">
        <v>31</v>
      </c>
      <c r="H277" t="s">
        <v>36</v>
      </c>
      <c r="I277" t="s">
        <v>23</v>
      </c>
      <c r="J277">
        <v>499</v>
      </c>
      <c r="K277" t="s">
        <v>75</v>
      </c>
      <c r="L277">
        <v>35</v>
      </c>
      <c r="M277" t="s">
        <v>45</v>
      </c>
      <c r="N277" t="s">
        <v>26</v>
      </c>
      <c r="O277">
        <v>26</v>
      </c>
      <c r="P277" t="s">
        <v>27</v>
      </c>
      <c r="Q277">
        <v>5</v>
      </c>
      <c r="R277">
        <v>499</v>
      </c>
    </row>
    <row r="278" spans="1:18" x14ac:dyDescent="0.3">
      <c r="A278" t="s">
        <v>337</v>
      </c>
      <c r="B278" s="1">
        <v>45467</v>
      </c>
      <c r="C278">
        <v>2024</v>
      </c>
      <c r="D278" t="s">
        <v>69</v>
      </c>
      <c r="E278" t="s">
        <v>43</v>
      </c>
      <c r="F278" t="s">
        <v>21</v>
      </c>
      <c r="G278">
        <v>20</v>
      </c>
      <c r="H278" t="s">
        <v>36</v>
      </c>
      <c r="I278" t="s">
        <v>23</v>
      </c>
      <c r="J278">
        <v>499</v>
      </c>
      <c r="K278" t="s">
        <v>57</v>
      </c>
      <c r="L278">
        <v>33</v>
      </c>
      <c r="M278" t="s">
        <v>45</v>
      </c>
      <c r="N278" t="s">
        <v>26</v>
      </c>
      <c r="O278">
        <v>42</v>
      </c>
      <c r="P278" t="s">
        <v>27</v>
      </c>
      <c r="Q278">
        <v>5</v>
      </c>
      <c r="R278">
        <v>499</v>
      </c>
    </row>
    <row r="279" spans="1:18" x14ac:dyDescent="0.3">
      <c r="A279" t="s">
        <v>338</v>
      </c>
      <c r="B279" s="1">
        <v>45922</v>
      </c>
      <c r="C279">
        <v>2025</v>
      </c>
      <c r="D279" t="s">
        <v>60</v>
      </c>
      <c r="E279" t="s">
        <v>20</v>
      </c>
      <c r="F279" t="s">
        <v>21</v>
      </c>
      <c r="G279">
        <v>21</v>
      </c>
      <c r="H279" t="s">
        <v>36</v>
      </c>
      <c r="I279" t="s">
        <v>23</v>
      </c>
      <c r="J279">
        <v>499</v>
      </c>
      <c r="K279" t="s">
        <v>57</v>
      </c>
      <c r="L279">
        <v>56</v>
      </c>
      <c r="M279" t="s">
        <v>31</v>
      </c>
      <c r="N279" t="s">
        <v>32</v>
      </c>
      <c r="O279">
        <v>44</v>
      </c>
      <c r="P279" t="s">
        <v>27</v>
      </c>
      <c r="Q279">
        <v>4</v>
      </c>
      <c r="R279">
        <v>499</v>
      </c>
    </row>
    <row r="280" spans="1:18" x14ac:dyDescent="0.3">
      <c r="A280" t="s">
        <v>339</v>
      </c>
      <c r="B280" s="1">
        <v>44882</v>
      </c>
      <c r="C280">
        <v>2022</v>
      </c>
      <c r="D280" t="s">
        <v>19</v>
      </c>
      <c r="E280" t="s">
        <v>52</v>
      </c>
      <c r="F280" t="s">
        <v>63</v>
      </c>
      <c r="G280">
        <v>49</v>
      </c>
      <c r="H280" t="s">
        <v>22</v>
      </c>
      <c r="I280" t="s">
        <v>23</v>
      </c>
      <c r="J280">
        <v>499</v>
      </c>
      <c r="K280" t="s">
        <v>67</v>
      </c>
      <c r="L280">
        <v>33</v>
      </c>
      <c r="M280" t="s">
        <v>45</v>
      </c>
      <c r="N280" t="s">
        <v>32</v>
      </c>
      <c r="O280">
        <v>7</v>
      </c>
      <c r="P280" t="s">
        <v>27</v>
      </c>
      <c r="Q280">
        <v>3</v>
      </c>
      <c r="R280">
        <v>499</v>
      </c>
    </row>
    <row r="281" spans="1:18" x14ac:dyDescent="0.3">
      <c r="A281" t="s">
        <v>340</v>
      </c>
      <c r="B281" s="1">
        <v>45265</v>
      </c>
      <c r="C281">
        <v>2023</v>
      </c>
      <c r="D281" t="s">
        <v>39</v>
      </c>
      <c r="E281" t="s">
        <v>20</v>
      </c>
      <c r="F281" t="s">
        <v>21</v>
      </c>
      <c r="G281">
        <v>19</v>
      </c>
      <c r="H281" t="s">
        <v>36</v>
      </c>
      <c r="I281" t="s">
        <v>23</v>
      </c>
      <c r="J281">
        <v>499</v>
      </c>
      <c r="K281" t="s">
        <v>44</v>
      </c>
      <c r="L281">
        <v>20</v>
      </c>
      <c r="M281" t="s">
        <v>31</v>
      </c>
      <c r="N281" t="s">
        <v>58</v>
      </c>
      <c r="O281">
        <v>16</v>
      </c>
      <c r="P281" t="s">
        <v>27</v>
      </c>
      <c r="Q281">
        <v>3</v>
      </c>
      <c r="R281">
        <v>499</v>
      </c>
    </row>
    <row r="282" spans="1:18" x14ac:dyDescent="0.3">
      <c r="A282" t="s">
        <v>341</v>
      </c>
      <c r="B282" s="1">
        <v>45611</v>
      </c>
      <c r="C282">
        <v>2024</v>
      </c>
      <c r="D282" t="s">
        <v>19</v>
      </c>
      <c r="E282" t="s">
        <v>43</v>
      </c>
      <c r="F282" t="s">
        <v>63</v>
      </c>
      <c r="G282">
        <v>19</v>
      </c>
      <c r="H282" t="s">
        <v>22</v>
      </c>
      <c r="I282" t="s">
        <v>37</v>
      </c>
      <c r="J282">
        <v>199</v>
      </c>
      <c r="K282" t="s">
        <v>44</v>
      </c>
      <c r="L282">
        <v>47</v>
      </c>
      <c r="M282" t="s">
        <v>31</v>
      </c>
      <c r="N282" t="s">
        <v>26</v>
      </c>
      <c r="O282">
        <v>5</v>
      </c>
      <c r="P282" t="s">
        <v>27</v>
      </c>
      <c r="Q282">
        <v>5</v>
      </c>
      <c r="R282">
        <v>199</v>
      </c>
    </row>
    <row r="283" spans="1:18" x14ac:dyDescent="0.3">
      <c r="A283" t="s">
        <v>342</v>
      </c>
      <c r="B283" s="1">
        <v>45816</v>
      </c>
      <c r="C283">
        <v>2025</v>
      </c>
      <c r="D283" t="s">
        <v>69</v>
      </c>
      <c r="E283" t="s">
        <v>20</v>
      </c>
      <c r="F283" t="s">
        <v>63</v>
      </c>
      <c r="G283">
        <v>49</v>
      </c>
      <c r="H283" t="s">
        <v>22</v>
      </c>
      <c r="I283" t="s">
        <v>37</v>
      </c>
      <c r="J283">
        <v>199</v>
      </c>
      <c r="K283" t="s">
        <v>40</v>
      </c>
      <c r="L283">
        <v>25</v>
      </c>
      <c r="M283" t="s">
        <v>25</v>
      </c>
      <c r="N283" t="s">
        <v>55</v>
      </c>
      <c r="O283">
        <v>6</v>
      </c>
      <c r="P283" t="s">
        <v>73</v>
      </c>
      <c r="Q283">
        <v>2</v>
      </c>
      <c r="R283">
        <v>0</v>
      </c>
    </row>
    <row r="284" spans="1:18" x14ac:dyDescent="0.3">
      <c r="A284" t="s">
        <v>343</v>
      </c>
      <c r="B284" s="1">
        <v>45493</v>
      </c>
      <c r="C284">
        <v>2024</v>
      </c>
      <c r="D284" t="s">
        <v>85</v>
      </c>
      <c r="E284" t="s">
        <v>43</v>
      </c>
      <c r="F284" t="s">
        <v>21</v>
      </c>
      <c r="G284">
        <v>54</v>
      </c>
      <c r="H284" t="s">
        <v>36</v>
      </c>
      <c r="I284" t="s">
        <v>37</v>
      </c>
      <c r="J284">
        <v>199</v>
      </c>
      <c r="K284" t="s">
        <v>44</v>
      </c>
      <c r="L284">
        <v>42</v>
      </c>
      <c r="M284" t="s">
        <v>25</v>
      </c>
      <c r="N284" t="s">
        <v>55</v>
      </c>
      <c r="O284">
        <v>35</v>
      </c>
      <c r="P284" t="s">
        <v>27</v>
      </c>
      <c r="Q284">
        <v>3</v>
      </c>
      <c r="R284">
        <v>199</v>
      </c>
    </row>
    <row r="285" spans="1:18" x14ac:dyDescent="0.3">
      <c r="A285" t="s">
        <v>344</v>
      </c>
      <c r="B285" s="1">
        <v>45134</v>
      </c>
      <c r="C285">
        <v>2023</v>
      </c>
      <c r="D285" t="s">
        <v>85</v>
      </c>
      <c r="E285" t="s">
        <v>20</v>
      </c>
      <c r="F285" t="s">
        <v>29</v>
      </c>
      <c r="G285">
        <v>33</v>
      </c>
      <c r="H285" t="s">
        <v>22</v>
      </c>
      <c r="I285" t="s">
        <v>23</v>
      </c>
      <c r="J285">
        <v>499</v>
      </c>
      <c r="K285" t="s">
        <v>44</v>
      </c>
      <c r="L285">
        <v>25</v>
      </c>
      <c r="M285" t="s">
        <v>45</v>
      </c>
      <c r="N285" t="s">
        <v>32</v>
      </c>
      <c r="O285">
        <v>44</v>
      </c>
      <c r="P285" t="s">
        <v>27</v>
      </c>
      <c r="Q285">
        <v>3</v>
      </c>
      <c r="R285">
        <v>499</v>
      </c>
    </row>
    <row r="286" spans="1:18" x14ac:dyDescent="0.3">
      <c r="A286" t="s">
        <v>345</v>
      </c>
      <c r="B286" s="1">
        <v>45840</v>
      </c>
      <c r="C286">
        <v>2025</v>
      </c>
      <c r="D286" t="s">
        <v>85</v>
      </c>
      <c r="E286" t="s">
        <v>43</v>
      </c>
      <c r="F286" t="s">
        <v>63</v>
      </c>
      <c r="G286">
        <v>28</v>
      </c>
      <c r="H286" t="s">
        <v>22</v>
      </c>
      <c r="I286" t="s">
        <v>37</v>
      </c>
      <c r="J286">
        <v>199</v>
      </c>
      <c r="K286" t="s">
        <v>75</v>
      </c>
      <c r="L286">
        <v>23</v>
      </c>
      <c r="M286" t="s">
        <v>25</v>
      </c>
      <c r="N286" t="s">
        <v>55</v>
      </c>
      <c r="O286">
        <v>13</v>
      </c>
      <c r="P286" t="s">
        <v>27</v>
      </c>
      <c r="Q286">
        <v>4</v>
      </c>
      <c r="R286">
        <v>199</v>
      </c>
    </row>
    <row r="287" spans="1:18" x14ac:dyDescent="0.3">
      <c r="A287" t="s">
        <v>346</v>
      </c>
      <c r="B287" s="1">
        <v>44865</v>
      </c>
      <c r="C287">
        <v>2022</v>
      </c>
      <c r="D287" t="s">
        <v>47</v>
      </c>
      <c r="E287" t="s">
        <v>52</v>
      </c>
      <c r="F287" t="s">
        <v>29</v>
      </c>
      <c r="G287">
        <v>28</v>
      </c>
      <c r="H287" t="s">
        <v>22</v>
      </c>
      <c r="I287" t="s">
        <v>37</v>
      </c>
      <c r="J287">
        <v>199</v>
      </c>
      <c r="K287" t="s">
        <v>40</v>
      </c>
      <c r="L287">
        <v>56</v>
      </c>
      <c r="M287" t="s">
        <v>45</v>
      </c>
      <c r="N287" t="s">
        <v>55</v>
      </c>
      <c r="O287">
        <v>37</v>
      </c>
      <c r="P287" t="s">
        <v>27</v>
      </c>
      <c r="Q287">
        <v>4</v>
      </c>
      <c r="R287">
        <v>199</v>
      </c>
    </row>
    <row r="288" spans="1:18" x14ac:dyDescent="0.3">
      <c r="A288" t="s">
        <v>347</v>
      </c>
      <c r="B288" s="1">
        <v>45137</v>
      </c>
      <c r="C288">
        <v>2023</v>
      </c>
      <c r="D288" t="s">
        <v>85</v>
      </c>
      <c r="E288" t="s">
        <v>52</v>
      </c>
      <c r="F288" t="s">
        <v>63</v>
      </c>
      <c r="G288">
        <v>51</v>
      </c>
      <c r="H288" t="s">
        <v>36</v>
      </c>
      <c r="I288" t="s">
        <v>37</v>
      </c>
      <c r="J288">
        <v>199</v>
      </c>
      <c r="K288" t="s">
        <v>57</v>
      </c>
      <c r="L288">
        <v>59</v>
      </c>
      <c r="M288" t="s">
        <v>41</v>
      </c>
      <c r="N288" t="s">
        <v>26</v>
      </c>
      <c r="O288">
        <v>21</v>
      </c>
      <c r="P288" t="s">
        <v>27</v>
      </c>
      <c r="Q288">
        <v>5</v>
      </c>
      <c r="R288">
        <v>199</v>
      </c>
    </row>
    <row r="289" spans="1:18" x14ac:dyDescent="0.3">
      <c r="A289" t="s">
        <v>348</v>
      </c>
      <c r="B289" s="1">
        <v>45678</v>
      </c>
      <c r="C289">
        <v>2025</v>
      </c>
      <c r="D289" t="s">
        <v>62</v>
      </c>
      <c r="E289" t="s">
        <v>35</v>
      </c>
      <c r="F289" t="s">
        <v>29</v>
      </c>
      <c r="G289">
        <v>26</v>
      </c>
      <c r="H289" t="s">
        <v>22</v>
      </c>
      <c r="I289" t="s">
        <v>23</v>
      </c>
      <c r="J289">
        <v>499</v>
      </c>
      <c r="K289" t="s">
        <v>53</v>
      </c>
      <c r="L289">
        <v>48</v>
      </c>
      <c r="M289" t="s">
        <v>25</v>
      </c>
      <c r="N289" t="s">
        <v>58</v>
      </c>
      <c r="O289">
        <v>21</v>
      </c>
      <c r="P289" t="s">
        <v>27</v>
      </c>
      <c r="Q289">
        <v>4</v>
      </c>
      <c r="R289">
        <v>499</v>
      </c>
    </row>
    <row r="290" spans="1:18" x14ac:dyDescent="0.3">
      <c r="A290" t="s">
        <v>349</v>
      </c>
      <c r="B290" s="1">
        <v>44838</v>
      </c>
      <c r="C290">
        <v>2022</v>
      </c>
      <c r="D290" t="s">
        <v>47</v>
      </c>
      <c r="E290" t="s">
        <v>52</v>
      </c>
      <c r="F290" t="s">
        <v>29</v>
      </c>
      <c r="G290">
        <v>27</v>
      </c>
      <c r="H290" t="s">
        <v>22</v>
      </c>
      <c r="I290" t="s">
        <v>48</v>
      </c>
      <c r="J290">
        <v>649</v>
      </c>
      <c r="K290" t="s">
        <v>44</v>
      </c>
      <c r="L290">
        <v>42</v>
      </c>
      <c r="M290" t="s">
        <v>41</v>
      </c>
      <c r="N290" t="s">
        <v>32</v>
      </c>
      <c r="O290">
        <v>20</v>
      </c>
      <c r="P290" t="s">
        <v>27</v>
      </c>
      <c r="Q290">
        <v>3</v>
      </c>
      <c r="R290">
        <v>649</v>
      </c>
    </row>
    <row r="291" spans="1:18" x14ac:dyDescent="0.3">
      <c r="A291" t="s">
        <v>350</v>
      </c>
      <c r="B291" s="1">
        <v>44672</v>
      </c>
      <c r="C291">
        <v>2022</v>
      </c>
      <c r="D291" t="s">
        <v>51</v>
      </c>
      <c r="E291" t="s">
        <v>20</v>
      </c>
      <c r="F291" t="s">
        <v>21</v>
      </c>
      <c r="G291">
        <v>44</v>
      </c>
      <c r="H291" t="s">
        <v>36</v>
      </c>
      <c r="I291" t="s">
        <v>23</v>
      </c>
      <c r="J291">
        <v>499</v>
      </c>
      <c r="K291" t="s">
        <v>49</v>
      </c>
      <c r="L291">
        <v>21</v>
      </c>
      <c r="M291" t="s">
        <v>41</v>
      </c>
      <c r="N291" t="s">
        <v>26</v>
      </c>
      <c r="O291">
        <v>36</v>
      </c>
      <c r="P291" t="s">
        <v>27</v>
      </c>
      <c r="Q291">
        <v>4</v>
      </c>
      <c r="R291">
        <v>499</v>
      </c>
    </row>
    <row r="292" spans="1:18" x14ac:dyDescent="0.3">
      <c r="A292" t="s">
        <v>351</v>
      </c>
      <c r="B292" s="1">
        <v>45907</v>
      </c>
      <c r="C292">
        <v>2025</v>
      </c>
      <c r="D292" t="s">
        <v>60</v>
      </c>
      <c r="E292" t="s">
        <v>43</v>
      </c>
      <c r="F292" t="s">
        <v>29</v>
      </c>
      <c r="G292">
        <v>25</v>
      </c>
      <c r="H292" t="s">
        <v>36</v>
      </c>
      <c r="I292" t="s">
        <v>37</v>
      </c>
      <c r="J292">
        <v>199</v>
      </c>
      <c r="K292" t="s">
        <v>24</v>
      </c>
      <c r="L292">
        <v>52</v>
      </c>
      <c r="M292" t="s">
        <v>25</v>
      </c>
      <c r="N292" t="s">
        <v>58</v>
      </c>
      <c r="O292">
        <v>45</v>
      </c>
      <c r="P292" t="s">
        <v>27</v>
      </c>
      <c r="Q292">
        <v>3</v>
      </c>
      <c r="R292">
        <v>199</v>
      </c>
    </row>
    <row r="293" spans="1:18" x14ac:dyDescent="0.3">
      <c r="A293" t="s">
        <v>352</v>
      </c>
      <c r="B293" s="1">
        <v>45782</v>
      </c>
      <c r="C293">
        <v>2025</v>
      </c>
      <c r="D293" t="s">
        <v>79</v>
      </c>
      <c r="E293" t="s">
        <v>20</v>
      </c>
      <c r="F293" t="s">
        <v>29</v>
      </c>
      <c r="G293">
        <v>26</v>
      </c>
      <c r="H293" t="s">
        <v>22</v>
      </c>
      <c r="I293" t="s">
        <v>37</v>
      </c>
      <c r="J293">
        <v>199</v>
      </c>
      <c r="K293" t="s">
        <v>44</v>
      </c>
      <c r="L293">
        <v>44</v>
      </c>
      <c r="M293" t="s">
        <v>31</v>
      </c>
      <c r="N293" t="s">
        <v>26</v>
      </c>
      <c r="O293">
        <v>4</v>
      </c>
      <c r="P293" t="s">
        <v>27</v>
      </c>
      <c r="Q293">
        <v>4</v>
      </c>
      <c r="R293">
        <v>199</v>
      </c>
    </row>
    <row r="294" spans="1:18" x14ac:dyDescent="0.3">
      <c r="A294" t="s">
        <v>353</v>
      </c>
      <c r="B294" s="1">
        <v>45664</v>
      </c>
      <c r="C294">
        <v>2025</v>
      </c>
      <c r="D294" t="s">
        <v>62</v>
      </c>
      <c r="E294" t="s">
        <v>35</v>
      </c>
      <c r="F294" t="s">
        <v>21</v>
      </c>
      <c r="G294">
        <v>39</v>
      </c>
      <c r="H294" t="s">
        <v>36</v>
      </c>
      <c r="I294" t="s">
        <v>23</v>
      </c>
      <c r="J294">
        <v>499</v>
      </c>
      <c r="K294" t="s">
        <v>40</v>
      </c>
      <c r="L294">
        <v>27</v>
      </c>
      <c r="M294" t="s">
        <v>45</v>
      </c>
      <c r="N294" t="s">
        <v>26</v>
      </c>
      <c r="O294">
        <v>25</v>
      </c>
      <c r="P294" t="s">
        <v>27</v>
      </c>
      <c r="Q294">
        <v>3</v>
      </c>
      <c r="R294">
        <v>499</v>
      </c>
    </row>
    <row r="295" spans="1:18" x14ac:dyDescent="0.3">
      <c r="A295" t="s">
        <v>354</v>
      </c>
      <c r="B295" s="1">
        <v>45633</v>
      </c>
      <c r="C295">
        <v>2024</v>
      </c>
      <c r="D295" t="s">
        <v>39</v>
      </c>
      <c r="E295" t="s">
        <v>35</v>
      </c>
      <c r="F295" t="s">
        <v>21</v>
      </c>
      <c r="G295">
        <v>50</v>
      </c>
      <c r="H295" t="s">
        <v>36</v>
      </c>
      <c r="I295" t="s">
        <v>48</v>
      </c>
      <c r="J295">
        <v>649</v>
      </c>
      <c r="K295" t="s">
        <v>53</v>
      </c>
      <c r="L295">
        <v>29</v>
      </c>
      <c r="M295" t="s">
        <v>41</v>
      </c>
      <c r="N295" t="s">
        <v>58</v>
      </c>
      <c r="O295">
        <v>24</v>
      </c>
      <c r="P295" t="s">
        <v>27</v>
      </c>
      <c r="Q295">
        <v>4</v>
      </c>
      <c r="R295">
        <v>649</v>
      </c>
    </row>
    <row r="296" spans="1:18" x14ac:dyDescent="0.3">
      <c r="A296" t="s">
        <v>355</v>
      </c>
      <c r="B296" s="1">
        <v>45136</v>
      </c>
      <c r="C296">
        <v>2023</v>
      </c>
      <c r="D296" t="s">
        <v>85</v>
      </c>
      <c r="E296" t="s">
        <v>20</v>
      </c>
      <c r="F296" t="s">
        <v>63</v>
      </c>
      <c r="G296">
        <v>19</v>
      </c>
      <c r="H296" t="s">
        <v>22</v>
      </c>
      <c r="I296" t="s">
        <v>23</v>
      </c>
      <c r="J296">
        <v>499</v>
      </c>
      <c r="K296" t="s">
        <v>49</v>
      </c>
      <c r="L296">
        <v>22</v>
      </c>
      <c r="M296" t="s">
        <v>45</v>
      </c>
      <c r="N296" t="s">
        <v>26</v>
      </c>
      <c r="O296">
        <v>48</v>
      </c>
      <c r="P296" t="s">
        <v>27</v>
      </c>
      <c r="Q296">
        <v>5</v>
      </c>
      <c r="R296">
        <v>499</v>
      </c>
    </row>
    <row r="297" spans="1:18" x14ac:dyDescent="0.3">
      <c r="A297" t="s">
        <v>356</v>
      </c>
      <c r="B297" s="1">
        <v>45909</v>
      </c>
      <c r="C297">
        <v>2025</v>
      </c>
      <c r="D297" t="s">
        <v>60</v>
      </c>
      <c r="E297" t="s">
        <v>52</v>
      </c>
      <c r="F297" t="s">
        <v>21</v>
      </c>
      <c r="G297">
        <v>34</v>
      </c>
      <c r="H297" t="s">
        <v>36</v>
      </c>
      <c r="I297" t="s">
        <v>48</v>
      </c>
      <c r="J297">
        <v>649</v>
      </c>
      <c r="K297" t="s">
        <v>30</v>
      </c>
      <c r="L297">
        <v>31</v>
      </c>
      <c r="M297" t="s">
        <v>25</v>
      </c>
      <c r="N297" t="s">
        <v>32</v>
      </c>
      <c r="O297">
        <v>24</v>
      </c>
      <c r="P297" t="s">
        <v>27</v>
      </c>
      <c r="Q297">
        <v>4</v>
      </c>
      <c r="R297">
        <v>649</v>
      </c>
    </row>
    <row r="298" spans="1:18" x14ac:dyDescent="0.3">
      <c r="A298" t="s">
        <v>357</v>
      </c>
      <c r="B298" s="1">
        <v>45009</v>
      </c>
      <c r="C298">
        <v>2023</v>
      </c>
      <c r="D298" t="s">
        <v>66</v>
      </c>
      <c r="E298" t="s">
        <v>43</v>
      </c>
      <c r="F298" t="s">
        <v>63</v>
      </c>
      <c r="G298">
        <v>44</v>
      </c>
      <c r="H298" t="s">
        <v>36</v>
      </c>
      <c r="I298" t="s">
        <v>23</v>
      </c>
      <c r="J298">
        <v>499</v>
      </c>
      <c r="K298" t="s">
        <v>40</v>
      </c>
      <c r="L298">
        <v>30</v>
      </c>
      <c r="M298" t="s">
        <v>41</v>
      </c>
      <c r="N298" t="s">
        <v>55</v>
      </c>
      <c r="O298">
        <v>3</v>
      </c>
      <c r="P298" t="s">
        <v>27</v>
      </c>
      <c r="Q298">
        <v>5</v>
      </c>
      <c r="R298">
        <v>499</v>
      </c>
    </row>
    <row r="299" spans="1:18" x14ac:dyDescent="0.3">
      <c r="A299" t="s">
        <v>358</v>
      </c>
      <c r="B299" s="1">
        <v>45024</v>
      </c>
      <c r="C299">
        <v>2023</v>
      </c>
      <c r="D299" t="s">
        <v>51</v>
      </c>
      <c r="E299" t="s">
        <v>43</v>
      </c>
      <c r="F299" t="s">
        <v>21</v>
      </c>
      <c r="G299">
        <v>20</v>
      </c>
      <c r="H299" t="s">
        <v>36</v>
      </c>
      <c r="I299" t="s">
        <v>37</v>
      </c>
      <c r="J299">
        <v>199</v>
      </c>
      <c r="K299" t="s">
        <v>75</v>
      </c>
      <c r="L299">
        <v>35</v>
      </c>
      <c r="M299" t="s">
        <v>31</v>
      </c>
      <c r="N299" t="s">
        <v>26</v>
      </c>
      <c r="O299">
        <v>15</v>
      </c>
      <c r="P299" t="s">
        <v>27</v>
      </c>
      <c r="Q299">
        <v>4</v>
      </c>
      <c r="R299">
        <v>199</v>
      </c>
    </row>
    <row r="300" spans="1:18" x14ac:dyDescent="0.3">
      <c r="A300" t="s">
        <v>359</v>
      </c>
      <c r="B300" s="1">
        <v>44852</v>
      </c>
      <c r="C300">
        <v>2022</v>
      </c>
      <c r="D300" t="s">
        <v>47</v>
      </c>
      <c r="E300" t="s">
        <v>43</v>
      </c>
      <c r="F300" t="s">
        <v>29</v>
      </c>
      <c r="G300">
        <v>27</v>
      </c>
      <c r="H300" t="s">
        <v>22</v>
      </c>
      <c r="I300" t="s">
        <v>48</v>
      </c>
      <c r="J300">
        <v>649</v>
      </c>
      <c r="K300" t="s">
        <v>49</v>
      </c>
      <c r="L300">
        <v>32</v>
      </c>
      <c r="M300" t="s">
        <v>25</v>
      </c>
      <c r="N300" t="s">
        <v>58</v>
      </c>
      <c r="O300">
        <v>6</v>
      </c>
      <c r="P300" t="s">
        <v>27</v>
      </c>
      <c r="Q300">
        <v>3</v>
      </c>
      <c r="R300">
        <v>649</v>
      </c>
    </row>
    <row r="301" spans="1:18" x14ac:dyDescent="0.3">
      <c r="A301" t="s">
        <v>360</v>
      </c>
      <c r="B301" s="1">
        <v>45548</v>
      </c>
      <c r="C301">
        <v>2024</v>
      </c>
      <c r="D301" t="s">
        <v>60</v>
      </c>
      <c r="E301" t="s">
        <v>35</v>
      </c>
      <c r="F301" t="s">
        <v>29</v>
      </c>
      <c r="G301">
        <v>28</v>
      </c>
      <c r="H301" t="s">
        <v>36</v>
      </c>
      <c r="I301" t="s">
        <v>48</v>
      </c>
      <c r="J301">
        <v>649</v>
      </c>
      <c r="K301" t="s">
        <v>57</v>
      </c>
      <c r="L301">
        <v>24</v>
      </c>
      <c r="M301" t="s">
        <v>41</v>
      </c>
      <c r="N301" t="s">
        <v>55</v>
      </c>
      <c r="O301">
        <v>27</v>
      </c>
      <c r="P301" t="s">
        <v>27</v>
      </c>
      <c r="Q301">
        <v>3</v>
      </c>
      <c r="R301">
        <v>649</v>
      </c>
    </row>
    <row r="302" spans="1:18" x14ac:dyDescent="0.3">
      <c r="A302" t="s">
        <v>361</v>
      </c>
      <c r="B302" s="1">
        <v>44623</v>
      </c>
      <c r="C302">
        <v>2022</v>
      </c>
      <c r="D302" t="s">
        <v>66</v>
      </c>
      <c r="E302" t="s">
        <v>35</v>
      </c>
      <c r="F302" t="s">
        <v>63</v>
      </c>
      <c r="G302">
        <v>48</v>
      </c>
      <c r="H302" t="s">
        <v>36</v>
      </c>
      <c r="I302" t="s">
        <v>48</v>
      </c>
      <c r="J302">
        <v>649</v>
      </c>
      <c r="K302" t="s">
        <v>57</v>
      </c>
      <c r="L302">
        <v>24</v>
      </c>
      <c r="M302" t="s">
        <v>25</v>
      </c>
      <c r="N302" t="s">
        <v>26</v>
      </c>
      <c r="O302">
        <v>37</v>
      </c>
      <c r="P302" t="s">
        <v>27</v>
      </c>
      <c r="Q302">
        <v>5</v>
      </c>
      <c r="R302">
        <v>649</v>
      </c>
    </row>
    <row r="303" spans="1:18" x14ac:dyDescent="0.3">
      <c r="A303" t="s">
        <v>362</v>
      </c>
      <c r="B303" s="1">
        <v>45107</v>
      </c>
      <c r="C303">
        <v>2023</v>
      </c>
      <c r="D303" t="s">
        <v>69</v>
      </c>
      <c r="E303" t="s">
        <v>52</v>
      </c>
      <c r="F303" t="s">
        <v>21</v>
      </c>
      <c r="G303">
        <v>42</v>
      </c>
      <c r="H303" t="s">
        <v>22</v>
      </c>
      <c r="I303" t="s">
        <v>23</v>
      </c>
      <c r="J303">
        <v>499</v>
      </c>
      <c r="K303" t="s">
        <v>24</v>
      </c>
      <c r="L303">
        <v>29</v>
      </c>
      <c r="M303" t="s">
        <v>31</v>
      </c>
      <c r="N303" t="s">
        <v>26</v>
      </c>
      <c r="O303">
        <v>12</v>
      </c>
      <c r="P303" t="s">
        <v>27</v>
      </c>
      <c r="Q303">
        <v>4</v>
      </c>
      <c r="R303">
        <v>499</v>
      </c>
    </row>
    <row r="304" spans="1:18" x14ac:dyDescent="0.3">
      <c r="A304" t="s">
        <v>363</v>
      </c>
      <c r="B304" s="1">
        <v>45727</v>
      </c>
      <c r="C304">
        <v>2025</v>
      </c>
      <c r="D304" t="s">
        <v>66</v>
      </c>
      <c r="E304" t="s">
        <v>35</v>
      </c>
      <c r="F304" t="s">
        <v>21</v>
      </c>
      <c r="G304">
        <v>52</v>
      </c>
      <c r="H304" t="s">
        <v>36</v>
      </c>
      <c r="I304" t="s">
        <v>23</v>
      </c>
      <c r="J304">
        <v>499</v>
      </c>
      <c r="K304" t="s">
        <v>30</v>
      </c>
      <c r="L304">
        <v>32</v>
      </c>
      <c r="M304" t="s">
        <v>25</v>
      </c>
      <c r="N304" t="s">
        <v>55</v>
      </c>
      <c r="O304">
        <v>7</v>
      </c>
      <c r="P304" t="s">
        <v>27</v>
      </c>
      <c r="Q304">
        <v>4</v>
      </c>
      <c r="R304">
        <v>499</v>
      </c>
    </row>
    <row r="305" spans="1:18" x14ac:dyDescent="0.3">
      <c r="A305" t="s">
        <v>364</v>
      </c>
      <c r="B305" s="1">
        <v>45538</v>
      </c>
      <c r="C305">
        <v>2024</v>
      </c>
      <c r="D305" t="s">
        <v>60</v>
      </c>
      <c r="E305" t="s">
        <v>20</v>
      </c>
      <c r="F305" t="s">
        <v>63</v>
      </c>
      <c r="G305">
        <v>36</v>
      </c>
      <c r="H305" t="s">
        <v>22</v>
      </c>
      <c r="I305" t="s">
        <v>37</v>
      </c>
      <c r="J305">
        <v>199</v>
      </c>
      <c r="K305" t="s">
        <v>24</v>
      </c>
      <c r="L305">
        <v>22</v>
      </c>
      <c r="M305" t="s">
        <v>45</v>
      </c>
      <c r="N305" t="s">
        <v>32</v>
      </c>
      <c r="O305">
        <v>18</v>
      </c>
      <c r="P305" t="s">
        <v>27</v>
      </c>
      <c r="Q305">
        <v>5</v>
      </c>
      <c r="R305">
        <v>199</v>
      </c>
    </row>
    <row r="306" spans="1:18" x14ac:dyDescent="0.3">
      <c r="A306" t="s">
        <v>365</v>
      </c>
      <c r="B306" s="1">
        <v>45091</v>
      </c>
      <c r="C306">
        <v>2023</v>
      </c>
      <c r="D306" t="s">
        <v>69</v>
      </c>
      <c r="E306" t="s">
        <v>43</v>
      </c>
      <c r="F306" t="s">
        <v>63</v>
      </c>
      <c r="G306">
        <v>29</v>
      </c>
      <c r="H306" t="s">
        <v>36</v>
      </c>
      <c r="I306" t="s">
        <v>23</v>
      </c>
      <c r="J306">
        <v>499</v>
      </c>
      <c r="K306" t="s">
        <v>24</v>
      </c>
      <c r="L306">
        <v>30</v>
      </c>
      <c r="M306" t="s">
        <v>41</v>
      </c>
      <c r="N306" t="s">
        <v>26</v>
      </c>
      <c r="O306">
        <v>40</v>
      </c>
      <c r="P306" t="s">
        <v>27</v>
      </c>
      <c r="Q306">
        <v>4</v>
      </c>
      <c r="R306">
        <v>499</v>
      </c>
    </row>
    <row r="307" spans="1:18" x14ac:dyDescent="0.3">
      <c r="A307" t="s">
        <v>366</v>
      </c>
      <c r="B307" s="1">
        <v>45152</v>
      </c>
      <c r="C307">
        <v>2023</v>
      </c>
      <c r="D307" t="s">
        <v>34</v>
      </c>
      <c r="E307" t="s">
        <v>43</v>
      </c>
      <c r="F307" t="s">
        <v>29</v>
      </c>
      <c r="G307">
        <v>52</v>
      </c>
      <c r="H307" t="s">
        <v>36</v>
      </c>
      <c r="I307" t="s">
        <v>48</v>
      </c>
      <c r="J307">
        <v>649</v>
      </c>
      <c r="K307" t="s">
        <v>40</v>
      </c>
      <c r="L307">
        <v>26</v>
      </c>
      <c r="M307" t="s">
        <v>45</v>
      </c>
      <c r="N307" t="s">
        <v>32</v>
      </c>
      <c r="O307">
        <v>3</v>
      </c>
      <c r="P307" t="s">
        <v>27</v>
      </c>
      <c r="Q307">
        <v>4</v>
      </c>
      <c r="R307">
        <v>649</v>
      </c>
    </row>
    <row r="308" spans="1:18" x14ac:dyDescent="0.3">
      <c r="A308" t="s">
        <v>367</v>
      </c>
      <c r="B308" s="1">
        <v>44868</v>
      </c>
      <c r="C308">
        <v>2022</v>
      </c>
      <c r="D308" t="s">
        <v>19</v>
      </c>
      <c r="E308" t="s">
        <v>20</v>
      </c>
      <c r="F308" t="s">
        <v>63</v>
      </c>
      <c r="G308">
        <v>41</v>
      </c>
      <c r="H308" t="s">
        <v>22</v>
      </c>
      <c r="I308" t="s">
        <v>37</v>
      </c>
      <c r="J308">
        <v>199</v>
      </c>
      <c r="K308" t="s">
        <v>67</v>
      </c>
      <c r="L308">
        <v>27</v>
      </c>
      <c r="M308" t="s">
        <v>25</v>
      </c>
      <c r="N308" t="s">
        <v>58</v>
      </c>
      <c r="O308">
        <v>6</v>
      </c>
      <c r="P308" t="s">
        <v>27</v>
      </c>
      <c r="Q308">
        <v>3</v>
      </c>
      <c r="R308">
        <v>199</v>
      </c>
    </row>
    <row r="309" spans="1:18" x14ac:dyDescent="0.3">
      <c r="A309" t="s">
        <v>368</v>
      </c>
      <c r="B309" s="1">
        <v>45100</v>
      </c>
      <c r="C309">
        <v>2023</v>
      </c>
      <c r="D309" t="s">
        <v>69</v>
      </c>
      <c r="E309" t="s">
        <v>52</v>
      </c>
      <c r="F309" t="s">
        <v>21</v>
      </c>
      <c r="G309">
        <v>38</v>
      </c>
      <c r="H309" t="s">
        <v>22</v>
      </c>
      <c r="I309" t="s">
        <v>23</v>
      </c>
      <c r="J309">
        <v>499</v>
      </c>
      <c r="K309" t="s">
        <v>67</v>
      </c>
      <c r="L309">
        <v>54</v>
      </c>
      <c r="M309" t="s">
        <v>31</v>
      </c>
      <c r="N309" t="s">
        <v>32</v>
      </c>
      <c r="O309">
        <v>39</v>
      </c>
      <c r="P309" t="s">
        <v>27</v>
      </c>
      <c r="Q309">
        <v>3</v>
      </c>
      <c r="R309">
        <v>499</v>
      </c>
    </row>
    <row r="310" spans="1:18" x14ac:dyDescent="0.3">
      <c r="A310" t="s">
        <v>369</v>
      </c>
      <c r="B310" s="1">
        <v>44955</v>
      </c>
      <c r="C310">
        <v>2023</v>
      </c>
      <c r="D310" t="s">
        <v>62</v>
      </c>
      <c r="E310" t="s">
        <v>35</v>
      </c>
      <c r="F310" t="s">
        <v>29</v>
      </c>
      <c r="G310">
        <v>24</v>
      </c>
      <c r="H310" t="s">
        <v>36</v>
      </c>
      <c r="I310" t="s">
        <v>23</v>
      </c>
      <c r="J310">
        <v>499</v>
      </c>
      <c r="K310" t="s">
        <v>57</v>
      </c>
      <c r="L310">
        <v>27</v>
      </c>
      <c r="M310" t="s">
        <v>25</v>
      </c>
      <c r="N310" t="s">
        <v>55</v>
      </c>
      <c r="O310">
        <v>7</v>
      </c>
      <c r="P310" t="s">
        <v>27</v>
      </c>
      <c r="Q310">
        <v>5</v>
      </c>
      <c r="R310">
        <v>499</v>
      </c>
    </row>
    <row r="311" spans="1:18" x14ac:dyDescent="0.3">
      <c r="A311" t="s">
        <v>370</v>
      </c>
      <c r="B311" s="1">
        <v>44829</v>
      </c>
      <c r="C311">
        <v>2022</v>
      </c>
      <c r="D311" t="s">
        <v>60</v>
      </c>
      <c r="E311" t="s">
        <v>43</v>
      </c>
      <c r="F311" t="s">
        <v>29</v>
      </c>
      <c r="G311">
        <v>35</v>
      </c>
      <c r="H311" t="s">
        <v>22</v>
      </c>
      <c r="I311" t="s">
        <v>23</v>
      </c>
      <c r="J311">
        <v>499</v>
      </c>
      <c r="K311" t="s">
        <v>30</v>
      </c>
      <c r="L311">
        <v>44</v>
      </c>
      <c r="M311" t="s">
        <v>41</v>
      </c>
      <c r="N311" t="s">
        <v>32</v>
      </c>
      <c r="O311">
        <v>32</v>
      </c>
      <c r="P311" t="s">
        <v>27</v>
      </c>
      <c r="Q311">
        <v>4</v>
      </c>
      <c r="R311">
        <v>499</v>
      </c>
    </row>
    <row r="312" spans="1:18" x14ac:dyDescent="0.3">
      <c r="A312" t="s">
        <v>371</v>
      </c>
      <c r="B312" s="1">
        <v>44692</v>
      </c>
      <c r="C312">
        <v>2022</v>
      </c>
      <c r="D312" t="s">
        <v>79</v>
      </c>
      <c r="E312" t="s">
        <v>52</v>
      </c>
      <c r="F312" t="s">
        <v>29</v>
      </c>
      <c r="G312">
        <v>40</v>
      </c>
      <c r="H312" t="s">
        <v>36</v>
      </c>
      <c r="I312" t="s">
        <v>23</v>
      </c>
      <c r="J312">
        <v>499</v>
      </c>
      <c r="K312" t="s">
        <v>44</v>
      </c>
      <c r="L312">
        <v>56</v>
      </c>
      <c r="M312" t="s">
        <v>41</v>
      </c>
      <c r="N312" t="s">
        <v>58</v>
      </c>
      <c r="O312">
        <v>30</v>
      </c>
      <c r="P312" t="s">
        <v>27</v>
      </c>
      <c r="Q312">
        <v>3</v>
      </c>
      <c r="R312">
        <v>499</v>
      </c>
    </row>
    <row r="313" spans="1:18" x14ac:dyDescent="0.3">
      <c r="A313" t="s">
        <v>372</v>
      </c>
      <c r="B313" s="1">
        <v>45865</v>
      </c>
      <c r="C313">
        <v>2025</v>
      </c>
      <c r="D313" t="s">
        <v>85</v>
      </c>
      <c r="E313" t="s">
        <v>20</v>
      </c>
      <c r="F313" t="s">
        <v>21</v>
      </c>
      <c r="G313">
        <v>44</v>
      </c>
      <c r="H313" t="s">
        <v>22</v>
      </c>
      <c r="I313" t="s">
        <v>23</v>
      </c>
      <c r="J313">
        <v>499</v>
      </c>
      <c r="K313" t="s">
        <v>24</v>
      </c>
      <c r="L313">
        <v>43</v>
      </c>
      <c r="M313" t="s">
        <v>45</v>
      </c>
      <c r="N313" t="s">
        <v>55</v>
      </c>
      <c r="O313">
        <v>24</v>
      </c>
      <c r="P313" t="s">
        <v>27</v>
      </c>
      <c r="Q313">
        <v>4</v>
      </c>
      <c r="R313">
        <v>499</v>
      </c>
    </row>
    <row r="314" spans="1:18" x14ac:dyDescent="0.3">
      <c r="A314" t="s">
        <v>373</v>
      </c>
      <c r="B314" s="1">
        <v>44571</v>
      </c>
      <c r="C314">
        <v>2022</v>
      </c>
      <c r="D314" t="s">
        <v>62</v>
      </c>
      <c r="E314" t="s">
        <v>35</v>
      </c>
      <c r="F314" t="s">
        <v>21</v>
      </c>
      <c r="G314">
        <v>40</v>
      </c>
      <c r="H314" t="s">
        <v>22</v>
      </c>
      <c r="I314" t="s">
        <v>37</v>
      </c>
      <c r="J314">
        <v>199</v>
      </c>
      <c r="K314" t="s">
        <v>67</v>
      </c>
      <c r="L314">
        <v>56</v>
      </c>
      <c r="M314" t="s">
        <v>25</v>
      </c>
      <c r="N314" t="s">
        <v>55</v>
      </c>
      <c r="O314">
        <v>40</v>
      </c>
      <c r="P314" t="s">
        <v>27</v>
      </c>
      <c r="Q314">
        <v>3</v>
      </c>
      <c r="R314">
        <v>199</v>
      </c>
    </row>
    <row r="315" spans="1:18" x14ac:dyDescent="0.3">
      <c r="A315" t="s">
        <v>374</v>
      </c>
      <c r="B315" s="1">
        <v>44869</v>
      </c>
      <c r="C315">
        <v>2022</v>
      </c>
      <c r="D315" t="s">
        <v>19</v>
      </c>
      <c r="E315" t="s">
        <v>43</v>
      </c>
      <c r="F315" t="s">
        <v>29</v>
      </c>
      <c r="G315">
        <v>37</v>
      </c>
      <c r="H315" t="s">
        <v>36</v>
      </c>
      <c r="I315" t="s">
        <v>23</v>
      </c>
      <c r="J315">
        <v>499</v>
      </c>
      <c r="K315" t="s">
        <v>24</v>
      </c>
      <c r="L315">
        <v>53</v>
      </c>
      <c r="M315" t="s">
        <v>41</v>
      </c>
      <c r="N315" t="s">
        <v>26</v>
      </c>
      <c r="O315">
        <v>19</v>
      </c>
      <c r="P315" t="s">
        <v>27</v>
      </c>
      <c r="Q315">
        <v>3</v>
      </c>
      <c r="R315">
        <v>499</v>
      </c>
    </row>
    <row r="316" spans="1:18" x14ac:dyDescent="0.3">
      <c r="A316" t="s">
        <v>375</v>
      </c>
      <c r="B316" s="1">
        <v>44744</v>
      </c>
      <c r="C316">
        <v>2022</v>
      </c>
      <c r="D316" t="s">
        <v>85</v>
      </c>
      <c r="E316" t="s">
        <v>52</v>
      </c>
      <c r="F316" t="s">
        <v>29</v>
      </c>
      <c r="G316">
        <v>29</v>
      </c>
      <c r="H316" t="s">
        <v>36</v>
      </c>
      <c r="I316" t="s">
        <v>23</v>
      </c>
      <c r="J316">
        <v>499</v>
      </c>
      <c r="K316" t="s">
        <v>53</v>
      </c>
      <c r="L316">
        <v>32</v>
      </c>
      <c r="M316" t="s">
        <v>41</v>
      </c>
      <c r="N316" t="s">
        <v>32</v>
      </c>
      <c r="O316">
        <v>35</v>
      </c>
      <c r="P316" t="s">
        <v>27</v>
      </c>
      <c r="Q316">
        <v>5</v>
      </c>
      <c r="R316">
        <v>499</v>
      </c>
    </row>
    <row r="317" spans="1:18" x14ac:dyDescent="0.3">
      <c r="A317" t="s">
        <v>376</v>
      </c>
      <c r="B317" s="1">
        <v>44902</v>
      </c>
      <c r="C317">
        <v>2022</v>
      </c>
      <c r="D317" t="s">
        <v>39</v>
      </c>
      <c r="E317" t="s">
        <v>52</v>
      </c>
      <c r="F317" t="s">
        <v>29</v>
      </c>
      <c r="G317">
        <v>39</v>
      </c>
      <c r="H317" t="s">
        <v>22</v>
      </c>
      <c r="I317" t="s">
        <v>48</v>
      </c>
      <c r="J317">
        <v>649</v>
      </c>
      <c r="K317" t="s">
        <v>53</v>
      </c>
      <c r="L317">
        <v>29</v>
      </c>
      <c r="M317" t="s">
        <v>41</v>
      </c>
      <c r="N317" t="s">
        <v>32</v>
      </c>
      <c r="O317">
        <v>12</v>
      </c>
      <c r="P317" t="s">
        <v>27</v>
      </c>
      <c r="Q317">
        <v>3</v>
      </c>
      <c r="R317">
        <v>649</v>
      </c>
    </row>
    <row r="318" spans="1:18" x14ac:dyDescent="0.3">
      <c r="A318" t="s">
        <v>377</v>
      </c>
      <c r="B318" s="1">
        <v>45410</v>
      </c>
      <c r="C318">
        <v>2024</v>
      </c>
      <c r="D318" t="s">
        <v>51</v>
      </c>
      <c r="E318" t="s">
        <v>35</v>
      </c>
      <c r="F318" t="s">
        <v>29</v>
      </c>
      <c r="G318">
        <v>26</v>
      </c>
      <c r="H318" t="s">
        <v>36</v>
      </c>
      <c r="I318" t="s">
        <v>37</v>
      </c>
      <c r="J318">
        <v>199</v>
      </c>
      <c r="K318" t="s">
        <v>75</v>
      </c>
      <c r="L318">
        <v>30</v>
      </c>
      <c r="M318" t="s">
        <v>25</v>
      </c>
      <c r="N318" t="s">
        <v>58</v>
      </c>
      <c r="O318">
        <v>5</v>
      </c>
      <c r="P318" t="s">
        <v>27</v>
      </c>
      <c r="Q318">
        <v>4</v>
      </c>
      <c r="R318">
        <v>199</v>
      </c>
    </row>
    <row r="319" spans="1:18" x14ac:dyDescent="0.3">
      <c r="A319" t="s">
        <v>378</v>
      </c>
      <c r="B319" s="1">
        <v>45863</v>
      </c>
      <c r="C319">
        <v>2025</v>
      </c>
      <c r="D319" t="s">
        <v>85</v>
      </c>
      <c r="E319" t="s">
        <v>20</v>
      </c>
      <c r="F319" t="s">
        <v>63</v>
      </c>
      <c r="G319">
        <v>42</v>
      </c>
      <c r="H319" t="s">
        <v>22</v>
      </c>
      <c r="I319" t="s">
        <v>23</v>
      </c>
      <c r="J319">
        <v>499</v>
      </c>
      <c r="K319" t="s">
        <v>40</v>
      </c>
      <c r="L319">
        <v>49</v>
      </c>
      <c r="M319" t="s">
        <v>41</v>
      </c>
      <c r="N319" t="s">
        <v>26</v>
      </c>
      <c r="O319">
        <v>42</v>
      </c>
      <c r="P319" t="s">
        <v>27</v>
      </c>
      <c r="Q319">
        <v>3</v>
      </c>
      <c r="R319">
        <v>499</v>
      </c>
    </row>
    <row r="320" spans="1:18" x14ac:dyDescent="0.3">
      <c r="A320" t="s">
        <v>379</v>
      </c>
      <c r="B320" s="1">
        <v>44885</v>
      </c>
      <c r="C320">
        <v>2022</v>
      </c>
      <c r="D320" t="s">
        <v>19</v>
      </c>
      <c r="E320" t="s">
        <v>20</v>
      </c>
      <c r="F320" t="s">
        <v>29</v>
      </c>
      <c r="G320">
        <v>43</v>
      </c>
      <c r="H320" t="s">
        <v>22</v>
      </c>
      <c r="I320" t="s">
        <v>37</v>
      </c>
      <c r="J320">
        <v>199</v>
      </c>
      <c r="K320" t="s">
        <v>53</v>
      </c>
      <c r="L320">
        <v>26</v>
      </c>
      <c r="M320" t="s">
        <v>45</v>
      </c>
      <c r="N320" t="s">
        <v>58</v>
      </c>
      <c r="O320">
        <v>2</v>
      </c>
      <c r="P320" t="s">
        <v>73</v>
      </c>
      <c r="Q320">
        <v>4</v>
      </c>
      <c r="R320">
        <v>0</v>
      </c>
    </row>
    <row r="321" spans="1:18" x14ac:dyDescent="0.3">
      <c r="A321" t="s">
        <v>380</v>
      </c>
      <c r="B321" s="1">
        <v>45989</v>
      </c>
      <c r="C321">
        <v>2025</v>
      </c>
      <c r="D321" t="s">
        <v>19</v>
      </c>
      <c r="E321" t="s">
        <v>35</v>
      </c>
      <c r="F321" t="s">
        <v>29</v>
      </c>
      <c r="G321">
        <v>30</v>
      </c>
      <c r="H321" t="s">
        <v>36</v>
      </c>
      <c r="I321" t="s">
        <v>23</v>
      </c>
      <c r="J321">
        <v>499</v>
      </c>
      <c r="K321" t="s">
        <v>30</v>
      </c>
      <c r="L321">
        <v>32</v>
      </c>
      <c r="M321" t="s">
        <v>31</v>
      </c>
      <c r="N321" t="s">
        <v>55</v>
      </c>
      <c r="O321">
        <v>26</v>
      </c>
      <c r="P321" t="s">
        <v>27</v>
      </c>
      <c r="Q321">
        <v>5</v>
      </c>
      <c r="R321">
        <v>499</v>
      </c>
    </row>
    <row r="322" spans="1:18" x14ac:dyDescent="0.3">
      <c r="A322" t="s">
        <v>381</v>
      </c>
      <c r="B322" s="1">
        <v>45223</v>
      </c>
      <c r="C322">
        <v>2023</v>
      </c>
      <c r="D322" t="s">
        <v>47</v>
      </c>
      <c r="E322" t="s">
        <v>43</v>
      </c>
      <c r="F322" t="s">
        <v>63</v>
      </c>
      <c r="G322">
        <v>46</v>
      </c>
      <c r="H322" t="s">
        <v>36</v>
      </c>
      <c r="I322" t="s">
        <v>23</v>
      </c>
      <c r="J322">
        <v>499</v>
      </c>
      <c r="K322" t="s">
        <v>49</v>
      </c>
      <c r="L322">
        <v>21</v>
      </c>
      <c r="M322" t="s">
        <v>45</v>
      </c>
      <c r="N322" t="s">
        <v>58</v>
      </c>
      <c r="O322">
        <v>29</v>
      </c>
      <c r="P322" t="s">
        <v>27</v>
      </c>
      <c r="Q322">
        <v>4</v>
      </c>
      <c r="R322">
        <v>499</v>
      </c>
    </row>
    <row r="323" spans="1:18" x14ac:dyDescent="0.3">
      <c r="A323" t="s">
        <v>382</v>
      </c>
      <c r="B323" s="1">
        <v>45010</v>
      </c>
      <c r="C323">
        <v>2023</v>
      </c>
      <c r="D323" t="s">
        <v>66</v>
      </c>
      <c r="E323" t="s">
        <v>43</v>
      </c>
      <c r="F323" t="s">
        <v>29</v>
      </c>
      <c r="G323">
        <v>19</v>
      </c>
      <c r="H323" t="s">
        <v>36</v>
      </c>
      <c r="I323" t="s">
        <v>37</v>
      </c>
      <c r="J323">
        <v>199</v>
      </c>
      <c r="K323" t="s">
        <v>30</v>
      </c>
      <c r="L323">
        <v>51</v>
      </c>
      <c r="M323" t="s">
        <v>25</v>
      </c>
      <c r="N323" t="s">
        <v>32</v>
      </c>
      <c r="O323">
        <v>6</v>
      </c>
      <c r="P323" t="s">
        <v>27</v>
      </c>
      <c r="Q323">
        <v>5</v>
      </c>
      <c r="R323">
        <v>199</v>
      </c>
    </row>
    <row r="324" spans="1:18" x14ac:dyDescent="0.3">
      <c r="A324" t="s">
        <v>383</v>
      </c>
      <c r="B324" s="1">
        <v>45875</v>
      </c>
      <c r="C324">
        <v>2025</v>
      </c>
      <c r="D324" t="s">
        <v>34</v>
      </c>
      <c r="E324" t="s">
        <v>35</v>
      </c>
      <c r="F324" t="s">
        <v>29</v>
      </c>
      <c r="G324">
        <v>43</v>
      </c>
      <c r="H324" t="s">
        <v>22</v>
      </c>
      <c r="I324" t="s">
        <v>37</v>
      </c>
      <c r="J324">
        <v>199</v>
      </c>
      <c r="K324" t="s">
        <v>49</v>
      </c>
      <c r="L324">
        <v>24</v>
      </c>
      <c r="M324" t="s">
        <v>25</v>
      </c>
      <c r="N324" t="s">
        <v>55</v>
      </c>
      <c r="O324">
        <v>38</v>
      </c>
      <c r="P324" t="s">
        <v>27</v>
      </c>
      <c r="Q324">
        <v>4</v>
      </c>
      <c r="R324">
        <v>199</v>
      </c>
    </row>
    <row r="325" spans="1:18" x14ac:dyDescent="0.3">
      <c r="A325" t="s">
        <v>384</v>
      </c>
      <c r="B325" s="1">
        <v>44839</v>
      </c>
      <c r="C325">
        <v>2022</v>
      </c>
      <c r="D325" t="s">
        <v>47</v>
      </c>
      <c r="E325" t="s">
        <v>35</v>
      </c>
      <c r="F325" t="s">
        <v>29</v>
      </c>
      <c r="G325">
        <v>41</v>
      </c>
      <c r="H325" t="s">
        <v>22</v>
      </c>
      <c r="I325" t="s">
        <v>37</v>
      </c>
      <c r="J325">
        <v>199</v>
      </c>
      <c r="K325" t="s">
        <v>67</v>
      </c>
      <c r="L325">
        <v>50</v>
      </c>
      <c r="M325" t="s">
        <v>41</v>
      </c>
      <c r="N325" t="s">
        <v>26</v>
      </c>
      <c r="O325">
        <v>4</v>
      </c>
      <c r="P325" t="s">
        <v>27</v>
      </c>
      <c r="Q325">
        <v>5</v>
      </c>
      <c r="R325">
        <v>199</v>
      </c>
    </row>
    <row r="326" spans="1:18" x14ac:dyDescent="0.3">
      <c r="A326" t="s">
        <v>385</v>
      </c>
      <c r="B326" s="1">
        <v>44816</v>
      </c>
      <c r="C326">
        <v>2022</v>
      </c>
      <c r="D326" t="s">
        <v>60</v>
      </c>
      <c r="E326" t="s">
        <v>35</v>
      </c>
      <c r="F326" t="s">
        <v>29</v>
      </c>
      <c r="G326">
        <v>51</v>
      </c>
      <c r="H326" t="s">
        <v>22</v>
      </c>
      <c r="I326" t="s">
        <v>48</v>
      </c>
      <c r="J326">
        <v>649</v>
      </c>
      <c r="K326" t="s">
        <v>49</v>
      </c>
      <c r="L326">
        <v>45</v>
      </c>
      <c r="M326" t="s">
        <v>45</v>
      </c>
      <c r="N326" t="s">
        <v>55</v>
      </c>
      <c r="O326">
        <v>30</v>
      </c>
      <c r="P326" t="s">
        <v>27</v>
      </c>
      <c r="Q326">
        <v>4</v>
      </c>
      <c r="R326">
        <v>649</v>
      </c>
    </row>
    <row r="327" spans="1:18" x14ac:dyDescent="0.3">
      <c r="A327" t="s">
        <v>386</v>
      </c>
      <c r="B327" s="1">
        <v>45859</v>
      </c>
      <c r="C327">
        <v>2025</v>
      </c>
      <c r="D327" t="s">
        <v>85</v>
      </c>
      <c r="E327" t="s">
        <v>43</v>
      </c>
      <c r="F327" t="s">
        <v>63</v>
      </c>
      <c r="G327">
        <v>50</v>
      </c>
      <c r="H327" t="s">
        <v>22</v>
      </c>
      <c r="I327" t="s">
        <v>48</v>
      </c>
      <c r="J327">
        <v>649</v>
      </c>
      <c r="K327" t="s">
        <v>40</v>
      </c>
      <c r="L327">
        <v>42</v>
      </c>
      <c r="M327" t="s">
        <v>45</v>
      </c>
      <c r="N327" t="s">
        <v>58</v>
      </c>
      <c r="O327">
        <v>26</v>
      </c>
      <c r="P327" t="s">
        <v>27</v>
      </c>
      <c r="Q327">
        <v>3</v>
      </c>
      <c r="R327">
        <v>649</v>
      </c>
    </row>
    <row r="328" spans="1:18" x14ac:dyDescent="0.3">
      <c r="A328" t="s">
        <v>387</v>
      </c>
      <c r="B328" s="1">
        <v>45672</v>
      </c>
      <c r="C328">
        <v>2025</v>
      </c>
      <c r="D328" t="s">
        <v>62</v>
      </c>
      <c r="E328" t="s">
        <v>43</v>
      </c>
      <c r="F328" t="s">
        <v>29</v>
      </c>
      <c r="G328">
        <v>55</v>
      </c>
      <c r="H328" t="s">
        <v>36</v>
      </c>
      <c r="I328" t="s">
        <v>23</v>
      </c>
      <c r="J328">
        <v>499</v>
      </c>
      <c r="K328" t="s">
        <v>24</v>
      </c>
      <c r="L328">
        <v>50</v>
      </c>
      <c r="M328" t="s">
        <v>25</v>
      </c>
      <c r="N328" t="s">
        <v>58</v>
      </c>
      <c r="O328">
        <v>1</v>
      </c>
      <c r="P328" t="s">
        <v>27</v>
      </c>
      <c r="Q328">
        <v>4</v>
      </c>
      <c r="R328">
        <v>499</v>
      </c>
    </row>
    <row r="329" spans="1:18" x14ac:dyDescent="0.3">
      <c r="A329" t="s">
        <v>388</v>
      </c>
      <c r="B329" s="1">
        <v>45605</v>
      </c>
      <c r="C329">
        <v>2024</v>
      </c>
      <c r="D329" t="s">
        <v>19</v>
      </c>
      <c r="E329" t="s">
        <v>52</v>
      </c>
      <c r="F329" t="s">
        <v>63</v>
      </c>
      <c r="G329">
        <v>19</v>
      </c>
      <c r="H329" t="s">
        <v>36</v>
      </c>
      <c r="I329" t="s">
        <v>23</v>
      </c>
      <c r="J329">
        <v>499</v>
      </c>
      <c r="K329" t="s">
        <v>40</v>
      </c>
      <c r="L329">
        <v>24</v>
      </c>
      <c r="M329" t="s">
        <v>41</v>
      </c>
      <c r="N329" t="s">
        <v>58</v>
      </c>
      <c r="O329">
        <v>2</v>
      </c>
      <c r="P329" t="s">
        <v>27</v>
      </c>
      <c r="Q329">
        <v>5</v>
      </c>
      <c r="R329">
        <v>499</v>
      </c>
    </row>
    <row r="330" spans="1:18" x14ac:dyDescent="0.3">
      <c r="A330" t="s">
        <v>389</v>
      </c>
      <c r="B330" s="1">
        <v>45184</v>
      </c>
      <c r="C330">
        <v>2023</v>
      </c>
      <c r="D330" t="s">
        <v>60</v>
      </c>
      <c r="E330" t="s">
        <v>20</v>
      </c>
      <c r="F330" t="s">
        <v>29</v>
      </c>
      <c r="G330">
        <v>49</v>
      </c>
      <c r="H330" t="s">
        <v>22</v>
      </c>
      <c r="I330" t="s">
        <v>48</v>
      </c>
      <c r="J330">
        <v>649</v>
      </c>
      <c r="K330" t="s">
        <v>30</v>
      </c>
      <c r="L330">
        <v>35</v>
      </c>
      <c r="M330" t="s">
        <v>31</v>
      </c>
      <c r="N330" t="s">
        <v>55</v>
      </c>
      <c r="O330">
        <v>48</v>
      </c>
      <c r="P330" t="s">
        <v>27</v>
      </c>
      <c r="Q330">
        <v>3</v>
      </c>
      <c r="R330">
        <v>649</v>
      </c>
    </row>
    <row r="331" spans="1:18" x14ac:dyDescent="0.3">
      <c r="A331" t="s">
        <v>390</v>
      </c>
      <c r="B331" s="1">
        <v>45134</v>
      </c>
      <c r="C331">
        <v>2023</v>
      </c>
      <c r="D331" t="s">
        <v>85</v>
      </c>
      <c r="E331" t="s">
        <v>20</v>
      </c>
      <c r="F331" t="s">
        <v>63</v>
      </c>
      <c r="G331">
        <v>39</v>
      </c>
      <c r="H331" t="s">
        <v>22</v>
      </c>
      <c r="I331" t="s">
        <v>37</v>
      </c>
      <c r="J331">
        <v>199</v>
      </c>
      <c r="K331" t="s">
        <v>49</v>
      </c>
      <c r="L331">
        <v>46</v>
      </c>
      <c r="M331" t="s">
        <v>45</v>
      </c>
      <c r="N331" t="s">
        <v>55</v>
      </c>
      <c r="O331">
        <v>1</v>
      </c>
      <c r="P331" t="s">
        <v>27</v>
      </c>
      <c r="Q331">
        <v>5</v>
      </c>
      <c r="R331">
        <v>199</v>
      </c>
    </row>
    <row r="332" spans="1:18" x14ac:dyDescent="0.3">
      <c r="A332" t="s">
        <v>391</v>
      </c>
      <c r="B332" s="1">
        <v>45574</v>
      </c>
      <c r="C332">
        <v>2024</v>
      </c>
      <c r="D332" t="s">
        <v>47</v>
      </c>
      <c r="E332" t="s">
        <v>52</v>
      </c>
      <c r="F332" t="s">
        <v>63</v>
      </c>
      <c r="G332">
        <v>53</v>
      </c>
      <c r="H332" t="s">
        <v>22</v>
      </c>
      <c r="I332" t="s">
        <v>23</v>
      </c>
      <c r="J332">
        <v>499</v>
      </c>
      <c r="K332" t="s">
        <v>24</v>
      </c>
      <c r="L332">
        <v>30</v>
      </c>
      <c r="M332" t="s">
        <v>41</v>
      </c>
      <c r="N332" t="s">
        <v>55</v>
      </c>
      <c r="O332">
        <v>31</v>
      </c>
      <c r="P332" t="s">
        <v>27</v>
      </c>
      <c r="Q332">
        <v>3</v>
      </c>
      <c r="R332">
        <v>499</v>
      </c>
    </row>
    <row r="333" spans="1:18" x14ac:dyDescent="0.3">
      <c r="A333" t="s">
        <v>392</v>
      </c>
      <c r="B333" s="1">
        <v>45982</v>
      </c>
      <c r="C333">
        <v>2025</v>
      </c>
      <c r="D333" t="s">
        <v>19</v>
      </c>
      <c r="E333" t="s">
        <v>35</v>
      </c>
      <c r="F333" t="s">
        <v>63</v>
      </c>
      <c r="G333">
        <v>38</v>
      </c>
      <c r="H333" t="s">
        <v>22</v>
      </c>
      <c r="I333" t="s">
        <v>23</v>
      </c>
      <c r="J333">
        <v>499</v>
      </c>
      <c r="K333" t="s">
        <v>44</v>
      </c>
      <c r="L333">
        <v>53</v>
      </c>
      <c r="M333" t="s">
        <v>25</v>
      </c>
      <c r="N333" t="s">
        <v>58</v>
      </c>
      <c r="O333">
        <v>19</v>
      </c>
      <c r="P333" t="s">
        <v>27</v>
      </c>
      <c r="Q333">
        <v>3</v>
      </c>
      <c r="R333">
        <v>499</v>
      </c>
    </row>
    <row r="334" spans="1:18" x14ac:dyDescent="0.3">
      <c r="A334" t="s">
        <v>393</v>
      </c>
      <c r="B334" s="1">
        <v>45361</v>
      </c>
      <c r="C334">
        <v>2024</v>
      </c>
      <c r="D334" t="s">
        <v>66</v>
      </c>
      <c r="E334" t="s">
        <v>52</v>
      </c>
      <c r="F334" t="s">
        <v>21</v>
      </c>
      <c r="G334">
        <v>45</v>
      </c>
      <c r="H334" t="s">
        <v>22</v>
      </c>
      <c r="I334" t="s">
        <v>37</v>
      </c>
      <c r="J334">
        <v>199</v>
      </c>
      <c r="K334" t="s">
        <v>75</v>
      </c>
      <c r="L334">
        <v>54</v>
      </c>
      <c r="M334" t="s">
        <v>45</v>
      </c>
      <c r="N334" t="s">
        <v>58</v>
      </c>
      <c r="O334">
        <v>21</v>
      </c>
      <c r="P334" t="s">
        <v>27</v>
      </c>
      <c r="Q334">
        <v>3</v>
      </c>
      <c r="R334">
        <v>199</v>
      </c>
    </row>
    <row r="335" spans="1:18" x14ac:dyDescent="0.3">
      <c r="A335" t="s">
        <v>394</v>
      </c>
      <c r="B335" s="1">
        <v>45450</v>
      </c>
      <c r="C335">
        <v>2024</v>
      </c>
      <c r="D335" t="s">
        <v>69</v>
      </c>
      <c r="E335" t="s">
        <v>20</v>
      </c>
      <c r="F335" t="s">
        <v>29</v>
      </c>
      <c r="G335">
        <v>48</v>
      </c>
      <c r="H335" t="s">
        <v>36</v>
      </c>
      <c r="I335" t="s">
        <v>37</v>
      </c>
      <c r="J335">
        <v>199</v>
      </c>
      <c r="K335" t="s">
        <v>44</v>
      </c>
      <c r="L335">
        <v>58</v>
      </c>
      <c r="M335" t="s">
        <v>45</v>
      </c>
      <c r="N335" t="s">
        <v>26</v>
      </c>
      <c r="O335">
        <v>5</v>
      </c>
      <c r="P335" t="s">
        <v>27</v>
      </c>
      <c r="Q335">
        <v>5</v>
      </c>
      <c r="R335">
        <v>199</v>
      </c>
    </row>
    <row r="336" spans="1:18" x14ac:dyDescent="0.3">
      <c r="A336" t="s">
        <v>395</v>
      </c>
      <c r="B336" s="1">
        <v>45726</v>
      </c>
      <c r="C336">
        <v>2025</v>
      </c>
      <c r="D336" t="s">
        <v>66</v>
      </c>
      <c r="E336" t="s">
        <v>35</v>
      </c>
      <c r="F336" t="s">
        <v>63</v>
      </c>
      <c r="G336">
        <v>18</v>
      </c>
      <c r="H336" t="s">
        <v>22</v>
      </c>
      <c r="I336" t="s">
        <v>48</v>
      </c>
      <c r="J336">
        <v>649</v>
      </c>
      <c r="K336" t="s">
        <v>75</v>
      </c>
      <c r="L336">
        <v>40</v>
      </c>
      <c r="M336" t="s">
        <v>25</v>
      </c>
      <c r="N336" t="s">
        <v>32</v>
      </c>
      <c r="O336">
        <v>22</v>
      </c>
      <c r="P336" t="s">
        <v>27</v>
      </c>
      <c r="Q336">
        <v>4</v>
      </c>
      <c r="R336">
        <v>649</v>
      </c>
    </row>
    <row r="337" spans="1:18" x14ac:dyDescent="0.3">
      <c r="A337" t="s">
        <v>396</v>
      </c>
      <c r="B337" s="1">
        <v>45952</v>
      </c>
      <c r="C337">
        <v>2025</v>
      </c>
      <c r="D337" t="s">
        <v>47</v>
      </c>
      <c r="E337" t="s">
        <v>43</v>
      </c>
      <c r="F337" t="s">
        <v>21</v>
      </c>
      <c r="G337">
        <v>44</v>
      </c>
      <c r="H337" t="s">
        <v>22</v>
      </c>
      <c r="I337" t="s">
        <v>48</v>
      </c>
      <c r="J337">
        <v>649</v>
      </c>
      <c r="K337" t="s">
        <v>24</v>
      </c>
      <c r="L337">
        <v>54</v>
      </c>
      <c r="M337" t="s">
        <v>25</v>
      </c>
      <c r="N337" t="s">
        <v>58</v>
      </c>
      <c r="O337">
        <v>36</v>
      </c>
      <c r="P337" t="s">
        <v>27</v>
      </c>
      <c r="Q337">
        <v>4</v>
      </c>
      <c r="R337">
        <v>649</v>
      </c>
    </row>
    <row r="338" spans="1:18" x14ac:dyDescent="0.3">
      <c r="A338" t="s">
        <v>397</v>
      </c>
      <c r="B338" s="1">
        <v>44809</v>
      </c>
      <c r="C338">
        <v>2022</v>
      </c>
      <c r="D338" t="s">
        <v>60</v>
      </c>
      <c r="E338" t="s">
        <v>35</v>
      </c>
      <c r="F338" t="s">
        <v>63</v>
      </c>
      <c r="G338">
        <v>37</v>
      </c>
      <c r="H338" t="s">
        <v>22</v>
      </c>
      <c r="I338" t="s">
        <v>23</v>
      </c>
      <c r="J338">
        <v>499</v>
      </c>
      <c r="K338" t="s">
        <v>24</v>
      </c>
      <c r="L338">
        <v>52</v>
      </c>
      <c r="M338" t="s">
        <v>45</v>
      </c>
      <c r="N338" t="s">
        <v>55</v>
      </c>
      <c r="O338">
        <v>35</v>
      </c>
      <c r="P338" t="s">
        <v>27</v>
      </c>
      <c r="Q338">
        <v>5</v>
      </c>
      <c r="R338">
        <v>499</v>
      </c>
    </row>
    <row r="339" spans="1:18" x14ac:dyDescent="0.3">
      <c r="A339" t="s">
        <v>398</v>
      </c>
      <c r="B339" s="1">
        <v>45854</v>
      </c>
      <c r="C339">
        <v>2025</v>
      </c>
      <c r="D339" t="s">
        <v>85</v>
      </c>
      <c r="E339" t="s">
        <v>43</v>
      </c>
      <c r="F339" t="s">
        <v>29</v>
      </c>
      <c r="G339">
        <v>40</v>
      </c>
      <c r="H339" t="s">
        <v>36</v>
      </c>
      <c r="I339" t="s">
        <v>37</v>
      </c>
      <c r="J339">
        <v>199</v>
      </c>
      <c r="K339" t="s">
        <v>30</v>
      </c>
      <c r="L339">
        <v>36</v>
      </c>
      <c r="M339" t="s">
        <v>45</v>
      </c>
      <c r="N339" t="s">
        <v>26</v>
      </c>
      <c r="O339">
        <v>33</v>
      </c>
      <c r="P339" t="s">
        <v>27</v>
      </c>
      <c r="Q339">
        <v>5</v>
      </c>
      <c r="R339">
        <v>199</v>
      </c>
    </row>
    <row r="340" spans="1:18" x14ac:dyDescent="0.3">
      <c r="A340" t="s">
        <v>399</v>
      </c>
      <c r="B340" s="1">
        <v>45662</v>
      </c>
      <c r="C340">
        <v>2025</v>
      </c>
      <c r="D340" t="s">
        <v>62</v>
      </c>
      <c r="E340" t="s">
        <v>43</v>
      </c>
      <c r="F340" t="s">
        <v>21</v>
      </c>
      <c r="G340">
        <v>53</v>
      </c>
      <c r="H340" t="s">
        <v>36</v>
      </c>
      <c r="I340" t="s">
        <v>23</v>
      </c>
      <c r="J340">
        <v>499</v>
      </c>
      <c r="K340" t="s">
        <v>57</v>
      </c>
      <c r="L340">
        <v>39</v>
      </c>
      <c r="M340" t="s">
        <v>25</v>
      </c>
      <c r="N340" t="s">
        <v>32</v>
      </c>
      <c r="O340">
        <v>35</v>
      </c>
      <c r="P340" t="s">
        <v>27</v>
      </c>
      <c r="Q340">
        <v>5</v>
      </c>
      <c r="R340">
        <v>499</v>
      </c>
    </row>
    <row r="341" spans="1:18" x14ac:dyDescent="0.3">
      <c r="A341" t="s">
        <v>400</v>
      </c>
      <c r="B341" s="1">
        <v>45336</v>
      </c>
      <c r="C341">
        <v>2024</v>
      </c>
      <c r="D341" t="s">
        <v>111</v>
      </c>
      <c r="E341" t="s">
        <v>43</v>
      </c>
      <c r="F341" t="s">
        <v>63</v>
      </c>
      <c r="G341">
        <v>41</v>
      </c>
      <c r="H341" t="s">
        <v>36</v>
      </c>
      <c r="I341" t="s">
        <v>37</v>
      </c>
      <c r="J341">
        <v>199</v>
      </c>
      <c r="K341" t="s">
        <v>44</v>
      </c>
      <c r="L341">
        <v>37</v>
      </c>
      <c r="M341" t="s">
        <v>45</v>
      </c>
      <c r="N341" t="s">
        <v>32</v>
      </c>
      <c r="O341">
        <v>39</v>
      </c>
      <c r="P341" t="s">
        <v>73</v>
      </c>
      <c r="Q341">
        <v>2</v>
      </c>
      <c r="R341">
        <v>0</v>
      </c>
    </row>
    <row r="342" spans="1:18" x14ac:dyDescent="0.3">
      <c r="A342" t="s">
        <v>401</v>
      </c>
      <c r="B342" s="1">
        <v>45640</v>
      </c>
      <c r="C342">
        <v>2024</v>
      </c>
      <c r="D342" t="s">
        <v>39</v>
      </c>
      <c r="E342" t="s">
        <v>43</v>
      </c>
      <c r="F342" t="s">
        <v>29</v>
      </c>
      <c r="G342">
        <v>27</v>
      </c>
      <c r="H342" t="s">
        <v>36</v>
      </c>
      <c r="I342" t="s">
        <v>23</v>
      </c>
      <c r="J342">
        <v>499</v>
      </c>
      <c r="K342" t="s">
        <v>44</v>
      </c>
      <c r="L342">
        <v>48</v>
      </c>
      <c r="M342" t="s">
        <v>25</v>
      </c>
      <c r="N342" t="s">
        <v>58</v>
      </c>
      <c r="O342">
        <v>6</v>
      </c>
      <c r="P342" t="s">
        <v>73</v>
      </c>
      <c r="Q342">
        <v>5</v>
      </c>
      <c r="R342">
        <v>0</v>
      </c>
    </row>
    <row r="343" spans="1:18" x14ac:dyDescent="0.3">
      <c r="A343" t="s">
        <v>402</v>
      </c>
      <c r="B343" s="1">
        <v>45270</v>
      </c>
      <c r="C343">
        <v>2023</v>
      </c>
      <c r="D343" t="s">
        <v>39</v>
      </c>
      <c r="E343" t="s">
        <v>52</v>
      </c>
      <c r="F343" t="s">
        <v>21</v>
      </c>
      <c r="G343">
        <v>46</v>
      </c>
      <c r="H343" t="s">
        <v>22</v>
      </c>
      <c r="I343" t="s">
        <v>37</v>
      </c>
      <c r="J343">
        <v>199</v>
      </c>
      <c r="K343" t="s">
        <v>49</v>
      </c>
      <c r="L343">
        <v>45</v>
      </c>
      <c r="M343" t="s">
        <v>41</v>
      </c>
      <c r="N343" t="s">
        <v>26</v>
      </c>
      <c r="O343">
        <v>25</v>
      </c>
      <c r="P343" t="s">
        <v>27</v>
      </c>
      <c r="Q343">
        <v>3</v>
      </c>
      <c r="R343">
        <v>199</v>
      </c>
    </row>
    <row r="344" spans="1:18" x14ac:dyDescent="0.3">
      <c r="A344" t="s">
        <v>403</v>
      </c>
      <c r="B344" s="1">
        <v>46021</v>
      </c>
      <c r="C344">
        <v>2025</v>
      </c>
      <c r="D344" t="s">
        <v>39</v>
      </c>
      <c r="E344" t="s">
        <v>52</v>
      </c>
      <c r="F344" t="s">
        <v>63</v>
      </c>
      <c r="G344">
        <v>25</v>
      </c>
      <c r="H344" t="s">
        <v>36</v>
      </c>
      <c r="I344" t="s">
        <v>23</v>
      </c>
      <c r="J344">
        <v>499</v>
      </c>
      <c r="K344" t="s">
        <v>30</v>
      </c>
      <c r="L344">
        <v>25</v>
      </c>
      <c r="M344" t="s">
        <v>41</v>
      </c>
      <c r="N344" t="s">
        <v>58</v>
      </c>
      <c r="O344">
        <v>10</v>
      </c>
      <c r="P344" t="s">
        <v>27</v>
      </c>
      <c r="Q344">
        <v>3</v>
      </c>
      <c r="R344">
        <v>499</v>
      </c>
    </row>
    <row r="345" spans="1:18" x14ac:dyDescent="0.3">
      <c r="A345" t="s">
        <v>404</v>
      </c>
      <c r="B345" s="1">
        <v>45340</v>
      </c>
      <c r="C345">
        <v>2024</v>
      </c>
      <c r="D345" t="s">
        <v>111</v>
      </c>
      <c r="E345" t="s">
        <v>20</v>
      </c>
      <c r="F345" t="s">
        <v>29</v>
      </c>
      <c r="G345">
        <v>34</v>
      </c>
      <c r="H345" t="s">
        <v>36</v>
      </c>
      <c r="I345" t="s">
        <v>48</v>
      </c>
      <c r="J345">
        <v>649</v>
      </c>
      <c r="K345" t="s">
        <v>57</v>
      </c>
      <c r="L345">
        <v>49</v>
      </c>
      <c r="M345" t="s">
        <v>31</v>
      </c>
      <c r="N345" t="s">
        <v>32</v>
      </c>
      <c r="O345">
        <v>27</v>
      </c>
      <c r="P345" t="s">
        <v>27</v>
      </c>
      <c r="Q345">
        <v>4</v>
      </c>
      <c r="R345">
        <v>649</v>
      </c>
    </row>
    <row r="346" spans="1:18" x14ac:dyDescent="0.3">
      <c r="A346" t="s">
        <v>405</v>
      </c>
      <c r="B346" s="1">
        <v>45831</v>
      </c>
      <c r="C346">
        <v>2025</v>
      </c>
      <c r="D346" t="s">
        <v>69</v>
      </c>
      <c r="E346" t="s">
        <v>52</v>
      </c>
      <c r="F346" t="s">
        <v>29</v>
      </c>
      <c r="G346">
        <v>42</v>
      </c>
      <c r="H346" t="s">
        <v>36</v>
      </c>
      <c r="I346" t="s">
        <v>23</v>
      </c>
      <c r="J346">
        <v>499</v>
      </c>
      <c r="K346" t="s">
        <v>67</v>
      </c>
      <c r="L346">
        <v>36</v>
      </c>
      <c r="M346" t="s">
        <v>31</v>
      </c>
      <c r="N346" t="s">
        <v>58</v>
      </c>
      <c r="O346">
        <v>27</v>
      </c>
      <c r="P346" t="s">
        <v>27</v>
      </c>
      <c r="Q346">
        <v>5</v>
      </c>
      <c r="R346">
        <v>499</v>
      </c>
    </row>
    <row r="347" spans="1:18" x14ac:dyDescent="0.3">
      <c r="A347" t="s">
        <v>406</v>
      </c>
      <c r="B347" s="1">
        <v>45674</v>
      </c>
      <c r="C347">
        <v>2025</v>
      </c>
      <c r="D347" t="s">
        <v>62</v>
      </c>
      <c r="E347" t="s">
        <v>35</v>
      </c>
      <c r="F347" t="s">
        <v>29</v>
      </c>
      <c r="G347">
        <v>37</v>
      </c>
      <c r="H347" t="s">
        <v>36</v>
      </c>
      <c r="I347" t="s">
        <v>37</v>
      </c>
      <c r="J347">
        <v>199</v>
      </c>
      <c r="K347" t="s">
        <v>49</v>
      </c>
      <c r="L347">
        <v>31</v>
      </c>
      <c r="M347" t="s">
        <v>41</v>
      </c>
      <c r="N347" t="s">
        <v>32</v>
      </c>
      <c r="O347">
        <v>6</v>
      </c>
      <c r="P347" t="s">
        <v>27</v>
      </c>
      <c r="Q347">
        <v>5</v>
      </c>
      <c r="R347">
        <v>199</v>
      </c>
    </row>
    <row r="348" spans="1:18" x14ac:dyDescent="0.3">
      <c r="A348" t="s">
        <v>407</v>
      </c>
      <c r="B348" s="1">
        <v>44760</v>
      </c>
      <c r="C348">
        <v>2022</v>
      </c>
      <c r="D348" t="s">
        <v>85</v>
      </c>
      <c r="E348" t="s">
        <v>52</v>
      </c>
      <c r="F348" t="s">
        <v>21</v>
      </c>
      <c r="G348">
        <v>24</v>
      </c>
      <c r="H348" t="s">
        <v>36</v>
      </c>
      <c r="I348" t="s">
        <v>48</v>
      </c>
      <c r="J348">
        <v>649</v>
      </c>
      <c r="K348" t="s">
        <v>40</v>
      </c>
      <c r="L348">
        <v>41</v>
      </c>
      <c r="M348" t="s">
        <v>25</v>
      </c>
      <c r="N348" t="s">
        <v>26</v>
      </c>
      <c r="O348">
        <v>17</v>
      </c>
      <c r="P348" t="s">
        <v>27</v>
      </c>
      <c r="Q348">
        <v>3</v>
      </c>
      <c r="R348">
        <v>649</v>
      </c>
    </row>
    <row r="349" spans="1:18" x14ac:dyDescent="0.3">
      <c r="A349" t="s">
        <v>408</v>
      </c>
      <c r="B349" s="1">
        <v>45329</v>
      </c>
      <c r="C349">
        <v>2024</v>
      </c>
      <c r="D349" t="s">
        <v>111</v>
      </c>
      <c r="E349" t="s">
        <v>52</v>
      </c>
      <c r="F349" t="s">
        <v>63</v>
      </c>
      <c r="G349">
        <v>43</v>
      </c>
      <c r="H349" t="s">
        <v>36</v>
      </c>
      <c r="I349" t="s">
        <v>23</v>
      </c>
      <c r="J349">
        <v>499</v>
      </c>
      <c r="K349" t="s">
        <v>40</v>
      </c>
      <c r="L349">
        <v>39</v>
      </c>
      <c r="M349" t="s">
        <v>31</v>
      </c>
      <c r="N349" t="s">
        <v>55</v>
      </c>
      <c r="O349">
        <v>17</v>
      </c>
      <c r="P349" t="s">
        <v>27</v>
      </c>
      <c r="Q349">
        <v>5</v>
      </c>
      <c r="R349">
        <v>499</v>
      </c>
    </row>
    <row r="350" spans="1:18" x14ac:dyDescent="0.3">
      <c r="A350" t="s">
        <v>409</v>
      </c>
      <c r="B350" s="1">
        <v>44802</v>
      </c>
      <c r="C350">
        <v>2022</v>
      </c>
      <c r="D350" t="s">
        <v>34</v>
      </c>
      <c r="E350" t="s">
        <v>52</v>
      </c>
      <c r="F350" t="s">
        <v>63</v>
      </c>
      <c r="G350">
        <v>23</v>
      </c>
      <c r="H350" t="s">
        <v>36</v>
      </c>
      <c r="I350" t="s">
        <v>37</v>
      </c>
      <c r="J350">
        <v>199</v>
      </c>
      <c r="K350" t="s">
        <v>53</v>
      </c>
      <c r="L350">
        <v>53</v>
      </c>
      <c r="M350" t="s">
        <v>45</v>
      </c>
      <c r="N350" t="s">
        <v>26</v>
      </c>
      <c r="O350">
        <v>43</v>
      </c>
      <c r="P350" t="s">
        <v>27</v>
      </c>
      <c r="Q350">
        <v>5</v>
      </c>
      <c r="R350">
        <v>199</v>
      </c>
    </row>
    <row r="351" spans="1:18" x14ac:dyDescent="0.3">
      <c r="A351" t="s">
        <v>410</v>
      </c>
      <c r="B351" s="1">
        <v>45896</v>
      </c>
      <c r="C351">
        <v>2025</v>
      </c>
      <c r="D351" t="s">
        <v>34</v>
      </c>
      <c r="E351" t="s">
        <v>43</v>
      </c>
      <c r="F351" t="s">
        <v>21</v>
      </c>
      <c r="G351">
        <v>26</v>
      </c>
      <c r="H351" t="s">
        <v>36</v>
      </c>
      <c r="I351" t="s">
        <v>23</v>
      </c>
      <c r="J351">
        <v>499</v>
      </c>
      <c r="K351" t="s">
        <v>57</v>
      </c>
      <c r="L351">
        <v>42</v>
      </c>
      <c r="M351" t="s">
        <v>45</v>
      </c>
      <c r="N351" t="s">
        <v>26</v>
      </c>
      <c r="O351">
        <v>31</v>
      </c>
      <c r="P351" t="s">
        <v>27</v>
      </c>
      <c r="Q351">
        <v>4</v>
      </c>
      <c r="R351">
        <v>499</v>
      </c>
    </row>
    <row r="352" spans="1:18" x14ac:dyDescent="0.3">
      <c r="A352" t="s">
        <v>411</v>
      </c>
      <c r="B352" s="1">
        <v>45702</v>
      </c>
      <c r="C352">
        <v>2025</v>
      </c>
      <c r="D352" t="s">
        <v>111</v>
      </c>
      <c r="E352" t="s">
        <v>52</v>
      </c>
      <c r="F352" t="s">
        <v>29</v>
      </c>
      <c r="G352">
        <v>40</v>
      </c>
      <c r="H352" t="s">
        <v>36</v>
      </c>
      <c r="I352" t="s">
        <v>48</v>
      </c>
      <c r="J352">
        <v>649</v>
      </c>
      <c r="K352" t="s">
        <v>53</v>
      </c>
      <c r="L352">
        <v>39</v>
      </c>
      <c r="M352" t="s">
        <v>41</v>
      </c>
      <c r="N352" t="s">
        <v>55</v>
      </c>
      <c r="O352">
        <v>3</v>
      </c>
      <c r="P352" t="s">
        <v>27</v>
      </c>
      <c r="Q352">
        <v>3</v>
      </c>
      <c r="R352">
        <v>649</v>
      </c>
    </row>
    <row r="353" spans="1:18" x14ac:dyDescent="0.3">
      <c r="A353" t="s">
        <v>412</v>
      </c>
      <c r="B353" s="1">
        <v>45400</v>
      </c>
      <c r="C353">
        <v>2024</v>
      </c>
      <c r="D353" t="s">
        <v>51</v>
      </c>
      <c r="E353" t="s">
        <v>52</v>
      </c>
      <c r="F353" t="s">
        <v>63</v>
      </c>
      <c r="G353">
        <v>35</v>
      </c>
      <c r="H353" t="s">
        <v>36</v>
      </c>
      <c r="I353" t="s">
        <v>23</v>
      </c>
      <c r="J353">
        <v>499</v>
      </c>
      <c r="K353" t="s">
        <v>49</v>
      </c>
      <c r="L353">
        <v>49</v>
      </c>
      <c r="M353" t="s">
        <v>41</v>
      </c>
      <c r="N353" t="s">
        <v>26</v>
      </c>
      <c r="O353">
        <v>21</v>
      </c>
      <c r="P353" t="s">
        <v>27</v>
      </c>
      <c r="Q353">
        <v>5</v>
      </c>
      <c r="R353">
        <v>499</v>
      </c>
    </row>
    <row r="354" spans="1:18" x14ac:dyDescent="0.3">
      <c r="A354" t="s">
        <v>413</v>
      </c>
      <c r="B354" s="1">
        <v>45282</v>
      </c>
      <c r="C354">
        <v>2023</v>
      </c>
      <c r="D354" t="s">
        <v>39</v>
      </c>
      <c r="E354" t="s">
        <v>52</v>
      </c>
      <c r="F354" t="s">
        <v>21</v>
      </c>
      <c r="G354">
        <v>37</v>
      </c>
      <c r="H354" t="s">
        <v>22</v>
      </c>
      <c r="I354" t="s">
        <v>37</v>
      </c>
      <c r="J354">
        <v>199</v>
      </c>
      <c r="K354" t="s">
        <v>24</v>
      </c>
      <c r="L354">
        <v>50</v>
      </c>
      <c r="M354" t="s">
        <v>41</v>
      </c>
      <c r="N354" t="s">
        <v>55</v>
      </c>
      <c r="O354">
        <v>48</v>
      </c>
      <c r="P354" t="s">
        <v>27</v>
      </c>
      <c r="Q354">
        <v>3</v>
      </c>
      <c r="R354">
        <v>199</v>
      </c>
    </row>
    <row r="355" spans="1:18" x14ac:dyDescent="0.3">
      <c r="A355" t="s">
        <v>414</v>
      </c>
      <c r="B355" s="1">
        <v>44858</v>
      </c>
      <c r="C355">
        <v>2022</v>
      </c>
      <c r="D355" t="s">
        <v>47</v>
      </c>
      <c r="E355" t="s">
        <v>52</v>
      </c>
      <c r="F355" t="s">
        <v>63</v>
      </c>
      <c r="G355">
        <v>45</v>
      </c>
      <c r="H355" t="s">
        <v>22</v>
      </c>
      <c r="I355" t="s">
        <v>48</v>
      </c>
      <c r="J355">
        <v>649</v>
      </c>
      <c r="K355" t="s">
        <v>57</v>
      </c>
      <c r="L355">
        <v>20</v>
      </c>
      <c r="M355" t="s">
        <v>41</v>
      </c>
      <c r="N355" t="s">
        <v>55</v>
      </c>
      <c r="O355">
        <v>16</v>
      </c>
      <c r="P355" t="s">
        <v>27</v>
      </c>
      <c r="Q355">
        <v>4</v>
      </c>
      <c r="R355">
        <v>649</v>
      </c>
    </row>
    <row r="356" spans="1:18" x14ac:dyDescent="0.3">
      <c r="A356" t="s">
        <v>415</v>
      </c>
      <c r="B356" s="1">
        <v>45107</v>
      </c>
      <c r="C356">
        <v>2023</v>
      </c>
      <c r="D356" t="s">
        <v>69</v>
      </c>
      <c r="E356" t="s">
        <v>52</v>
      </c>
      <c r="F356" t="s">
        <v>63</v>
      </c>
      <c r="G356">
        <v>36</v>
      </c>
      <c r="H356" t="s">
        <v>22</v>
      </c>
      <c r="I356" t="s">
        <v>48</v>
      </c>
      <c r="J356">
        <v>649</v>
      </c>
      <c r="K356" t="s">
        <v>24</v>
      </c>
      <c r="L356">
        <v>21</v>
      </c>
      <c r="M356" t="s">
        <v>31</v>
      </c>
      <c r="N356" t="s">
        <v>26</v>
      </c>
      <c r="O356">
        <v>1</v>
      </c>
      <c r="P356" t="s">
        <v>73</v>
      </c>
      <c r="Q356">
        <v>4</v>
      </c>
      <c r="R356">
        <v>0</v>
      </c>
    </row>
    <row r="357" spans="1:18" x14ac:dyDescent="0.3">
      <c r="A357" t="s">
        <v>416</v>
      </c>
      <c r="B357" s="1">
        <v>44837</v>
      </c>
      <c r="C357">
        <v>2022</v>
      </c>
      <c r="D357" t="s">
        <v>47</v>
      </c>
      <c r="E357" t="s">
        <v>52</v>
      </c>
      <c r="F357" t="s">
        <v>29</v>
      </c>
      <c r="G357">
        <v>18</v>
      </c>
      <c r="H357" t="s">
        <v>22</v>
      </c>
      <c r="I357" t="s">
        <v>37</v>
      </c>
      <c r="J357">
        <v>199</v>
      </c>
      <c r="K357" t="s">
        <v>40</v>
      </c>
      <c r="L357">
        <v>53</v>
      </c>
      <c r="M357" t="s">
        <v>45</v>
      </c>
      <c r="N357" t="s">
        <v>55</v>
      </c>
      <c r="O357">
        <v>25</v>
      </c>
      <c r="P357" t="s">
        <v>27</v>
      </c>
      <c r="Q357">
        <v>5</v>
      </c>
      <c r="R357">
        <v>199</v>
      </c>
    </row>
    <row r="358" spans="1:18" x14ac:dyDescent="0.3">
      <c r="A358" t="s">
        <v>417</v>
      </c>
      <c r="B358" s="1">
        <v>45089</v>
      </c>
      <c r="C358">
        <v>2023</v>
      </c>
      <c r="D358" t="s">
        <v>69</v>
      </c>
      <c r="E358" t="s">
        <v>20</v>
      </c>
      <c r="F358" t="s">
        <v>21</v>
      </c>
      <c r="G358">
        <v>22</v>
      </c>
      <c r="H358" t="s">
        <v>22</v>
      </c>
      <c r="I358" t="s">
        <v>37</v>
      </c>
      <c r="J358">
        <v>199</v>
      </c>
      <c r="K358" t="s">
        <v>67</v>
      </c>
      <c r="L358">
        <v>42</v>
      </c>
      <c r="M358" t="s">
        <v>25</v>
      </c>
      <c r="N358" t="s">
        <v>26</v>
      </c>
      <c r="O358">
        <v>4</v>
      </c>
      <c r="P358" t="s">
        <v>27</v>
      </c>
      <c r="Q358">
        <v>5</v>
      </c>
      <c r="R358">
        <v>199</v>
      </c>
    </row>
    <row r="359" spans="1:18" x14ac:dyDescent="0.3">
      <c r="A359" t="s">
        <v>418</v>
      </c>
      <c r="B359" s="1">
        <v>45580</v>
      </c>
      <c r="C359">
        <v>2024</v>
      </c>
      <c r="D359" t="s">
        <v>47</v>
      </c>
      <c r="E359" t="s">
        <v>52</v>
      </c>
      <c r="F359" t="s">
        <v>29</v>
      </c>
      <c r="G359">
        <v>51</v>
      </c>
      <c r="H359" t="s">
        <v>22</v>
      </c>
      <c r="I359" t="s">
        <v>23</v>
      </c>
      <c r="J359">
        <v>499</v>
      </c>
      <c r="K359" t="s">
        <v>67</v>
      </c>
      <c r="L359">
        <v>37</v>
      </c>
      <c r="M359" t="s">
        <v>45</v>
      </c>
      <c r="N359" t="s">
        <v>26</v>
      </c>
      <c r="O359">
        <v>41</v>
      </c>
      <c r="P359" t="s">
        <v>27</v>
      </c>
      <c r="Q359">
        <v>4</v>
      </c>
      <c r="R359">
        <v>499</v>
      </c>
    </row>
    <row r="360" spans="1:18" x14ac:dyDescent="0.3">
      <c r="A360" t="s">
        <v>419</v>
      </c>
      <c r="B360" s="1">
        <v>44809</v>
      </c>
      <c r="C360">
        <v>2022</v>
      </c>
      <c r="D360" t="s">
        <v>60</v>
      </c>
      <c r="E360" t="s">
        <v>35</v>
      </c>
      <c r="F360" t="s">
        <v>29</v>
      </c>
      <c r="G360">
        <v>53</v>
      </c>
      <c r="H360" t="s">
        <v>36</v>
      </c>
      <c r="I360" t="s">
        <v>23</v>
      </c>
      <c r="J360">
        <v>499</v>
      </c>
      <c r="K360" t="s">
        <v>75</v>
      </c>
      <c r="L360">
        <v>46</v>
      </c>
      <c r="M360" t="s">
        <v>31</v>
      </c>
      <c r="N360" t="s">
        <v>55</v>
      </c>
      <c r="O360">
        <v>1</v>
      </c>
      <c r="P360" t="s">
        <v>27</v>
      </c>
      <c r="Q360">
        <v>4</v>
      </c>
      <c r="R360">
        <v>499</v>
      </c>
    </row>
    <row r="361" spans="1:18" x14ac:dyDescent="0.3">
      <c r="A361" t="s">
        <v>420</v>
      </c>
      <c r="B361" s="1">
        <v>44762</v>
      </c>
      <c r="C361">
        <v>2022</v>
      </c>
      <c r="D361" t="s">
        <v>85</v>
      </c>
      <c r="E361" t="s">
        <v>35</v>
      </c>
      <c r="F361" t="s">
        <v>29</v>
      </c>
      <c r="G361">
        <v>21</v>
      </c>
      <c r="H361" t="s">
        <v>36</v>
      </c>
      <c r="I361" t="s">
        <v>48</v>
      </c>
      <c r="J361">
        <v>649</v>
      </c>
      <c r="K361" t="s">
        <v>75</v>
      </c>
      <c r="L361">
        <v>45</v>
      </c>
      <c r="M361" t="s">
        <v>31</v>
      </c>
      <c r="N361" t="s">
        <v>58</v>
      </c>
      <c r="O361">
        <v>11</v>
      </c>
      <c r="P361" t="s">
        <v>27</v>
      </c>
      <c r="Q361">
        <v>3</v>
      </c>
      <c r="R361">
        <v>649</v>
      </c>
    </row>
    <row r="362" spans="1:18" x14ac:dyDescent="0.3">
      <c r="A362" t="s">
        <v>421</v>
      </c>
      <c r="B362" s="1">
        <v>45582</v>
      </c>
      <c r="C362">
        <v>2024</v>
      </c>
      <c r="D362" t="s">
        <v>47</v>
      </c>
      <c r="E362" t="s">
        <v>52</v>
      </c>
      <c r="F362" t="s">
        <v>29</v>
      </c>
      <c r="G362">
        <v>22</v>
      </c>
      <c r="H362" t="s">
        <v>36</v>
      </c>
      <c r="I362" t="s">
        <v>37</v>
      </c>
      <c r="J362">
        <v>199</v>
      </c>
      <c r="K362" t="s">
        <v>75</v>
      </c>
      <c r="L362">
        <v>21</v>
      </c>
      <c r="M362" t="s">
        <v>25</v>
      </c>
      <c r="N362" t="s">
        <v>55</v>
      </c>
      <c r="O362">
        <v>35</v>
      </c>
      <c r="P362" t="s">
        <v>27</v>
      </c>
      <c r="Q362">
        <v>4</v>
      </c>
      <c r="R362">
        <v>199</v>
      </c>
    </row>
    <row r="363" spans="1:18" x14ac:dyDescent="0.3">
      <c r="A363" t="s">
        <v>422</v>
      </c>
      <c r="B363" s="1">
        <v>44710</v>
      </c>
      <c r="C363">
        <v>2022</v>
      </c>
      <c r="D363" t="s">
        <v>79</v>
      </c>
      <c r="E363" t="s">
        <v>35</v>
      </c>
      <c r="F363" t="s">
        <v>29</v>
      </c>
      <c r="G363">
        <v>44</v>
      </c>
      <c r="H363" t="s">
        <v>22</v>
      </c>
      <c r="I363" t="s">
        <v>23</v>
      </c>
      <c r="J363">
        <v>499</v>
      </c>
      <c r="K363" t="s">
        <v>30</v>
      </c>
      <c r="L363">
        <v>33</v>
      </c>
      <c r="M363" t="s">
        <v>31</v>
      </c>
      <c r="N363" t="s">
        <v>55</v>
      </c>
      <c r="O363">
        <v>48</v>
      </c>
      <c r="P363" t="s">
        <v>27</v>
      </c>
      <c r="Q363">
        <v>5</v>
      </c>
      <c r="R363">
        <v>499</v>
      </c>
    </row>
    <row r="364" spans="1:18" x14ac:dyDescent="0.3">
      <c r="A364" t="s">
        <v>423</v>
      </c>
      <c r="B364" s="1">
        <v>45441</v>
      </c>
      <c r="C364">
        <v>2024</v>
      </c>
      <c r="D364" t="s">
        <v>79</v>
      </c>
      <c r="E364" t="s">
        <v>43</v>
      </c>
      <c r="F364" t="s">
        <v>63</v>
      </c>
      <c r="G364">
        <v>34</v>
      </c>
      <c r="H364" t="s">
        <v>36</v>
      </c>
      <c r="I364" t="s">
        <v>37</v>
      </c>
      <c r="J364">
        <v>199</v>
      </c>
      <c r="K364" t="s">
        <v>67</v>
      </c>
      <c r="L364">
        <v>26</v>
      </c>
      <c r="M364" t="s">
        <v>31</v>
      </c>
      <c r="N364" t="s">
        <v>58</v>
      </c>
      <c r="O364">
        <v>16</v>
      </c>
      <c r="P364" t="s">
        <v>27</v>
      </c>
      <c r="Q364">
        <v>5</v>
      </c>
      <c r="R364">
        <v>199</v>
      </c>
    </row>
    <row r="365" spans="1:18" x14ac:dyDescent="0.3">
      <c r="A365" t="s">
        <v>424</v>
      </c>
      <c r="B365" s="1">
        <v>44967</v>
      </c>
      <c r="C365">
        <v>2023</v>
      </c>
      <c r="D365" t="s">
        <v>111</v>
      </c>
      <c r="E365" t="s">
        <v>52</v>
      </c>
      <c r="F365" t="s">
        <v>63</v>
      </c>
      <c r="G365">
        <v>49</v>
      </c>
      <c r="H365" t="s">
        <v>22</v>
      </c>
      <c r="I365" t="s">
        <v>37</v>
      </c>
      <c r="J365">
        <v>199</v>
      </c>
      <c r="K365" t="s">
        <v>75</v>
      </c>
      <c r="L365">
        <v>22</v>
      </c>
      <c r="M365" t="s">
        <v>41</v>
      </c>
      <c r="N365" t="s">
        <v>58</v>
      </c>
      <c r="O365">
        <v>30</v>
      </c>
      <c r="P365" t="s">
        <v>27</v>
      </c>
      <c r="Q365">
        <v>5</v>
      </c>
      <c r="R365">
        <v>199</v>
      </c>
    </row>
    <row r="366" spans="1:18" x14ac:dyDescent="0.3">
      <c r="A366" t="s">
        <v>425</v>
      </c>
      <c r="B366" s="1">
        <v>44940</v>
      </c>
      <c r="C366">
        <v>2023</v>
      </c>
      <c r="D366" t="s">
        <v>62</v>
      </c>
      <c r="E366" t="s">
        <v>52</v>
      </c>
      <c r="F366" t="s">
        <v>21</v>
      </c>
      <c r="G366">
        <v>43</v>
      </c>
      <c r="H366" t="s">
        <v>22</v>
      </c>
      <c r="I366" t="s">
        <v>37</v>
      </c>
      <c r="J366">
        <v>199</v>
      </c>
      <c r="K366" t="s">
        <v>30</v>
      </c>
      <c r="L366">
        <v>48</v>
      </c>
      <c r="M366" t="s">
        <v>25</v>
      </c>
      <c r="N366" t="s">
        <v>58</v>
      </c>
      <c r="O366">
        <v>7</v>
      </c>
      <c r="P366" t="s">
        <v>27</v>
      </c>
      <c r="Q366">
        <v>4</v>
      </c>
      <c r="R366">
        <v>199</v>
      </c>
    </row>
    <row r="367" spans="1:18" x14ac:dyDescent="0.3">
      <c r="A367" t="s">
        <v>426</v>
      </c>
      <c r="B367" s="1">
        <v>45772</v>
      </c>
      <c r="C367">
        <v>2025</v>
      </c>
      <c r="D367" t="s">
        <v>51</v>
      </c>
      <c r="E367" t="s">
        <v>52</v>
      </c>
      <c r="F367" t="s">
        <v>63</v>
      </c>
      <c r="G367">
        <v>46</v>
      </c>
      <c r="H367" t="s">
        <v>36</v>
      </c>
      <c r="I367" t="s">
        <v>48</v>
      </c>
      <c r="J367">
        <v>649</v>
      </c>
      <c r="K367" t="s">
        <v>57</v>
      </c>
      <c r="L367">
        <v>22</v>
      </c>
      <c r="M367" t="s">
        <v>25</v>
      </c>
      <c r="N367" t="s">
        <v>26</v>
      </c>
      <c r="O367">
        <v>36</v>
      </c>
      <c r="P367" t="s">
        <v>27</v>
      </c>
      <c r="Q367">
        <v>5</v>
      </c>
      <c r="R367">
        <v>649</v>
      </c>
    </row>
    <row r="368" spans="1:18" x14ac:dyDescent="0.3">
      <c r="A368" t="s">
        <v>427</v>
      </c>
      <c r="B368" s="1">
        <v>45122</v>
      </c>
      <c r="C368">
        <v>2023</v>
      </c>
      <c r="D368" t="s">
        <v>85</v>
      </c>
      <c r="E368" t="s">
        <v>20</v>
      </c>
      <c r="F368" t="s">
        <v>63</v>
      </c>
      <c r="G368">
        <v>29</v>
      </c>
      <c r="H368" t="s">
        <v>22</v>
      </c>
      <c r="I368" t="s">
        <v>37</v>
      </c>
      <c r="J368">
        <v>199</v>
      </c>
      <c r="K368" t="s">
        <v>53</v>
      </c>
      <c r="L368">
        <v>34</v>
      </c>
      <c r="M368" t="s">
        <v>41</v>
      </c>
      <c r="N368" t="s">
        <v>32</v>
      </c>
      <c r="O368">
        <v>46</v>
      </c>
      <c r="P368" t="s">
        <v>27</v>
      </c>
      <c r="Q368">
        <v>4</v>
      </c>
      <c r="R368">
        <v>199</v>
      </c>
    </row>
    <row r="369" spans="1:18" x14ac:dyDescent="0.3">
      <c r="A369" t="s">
        <v>428</v>
      </c>
      <c r="B369" s="1">
        <v>45387</v>
      </c>
      <c r="C369">
        <v>2024</v>
      </c>
      <c r="D369" t="s">
        <v>51</v>
      </c>
      <c r="E369" t="s">
        <v>35</v>
      </c>
      <c r="F369" t="s">
        <v>29</v>
      </c>
      <c r="G369">
        <v>32</v>
      </c>
      <c r="H369" t="s">
        <v>36</v>
      </c>
      <c r="I369" t="s">
        <v>37</v>
      </c>
      <c r="J369">
        <v>199</v>
      </c>
      <c r="K369" t="s">
        <v>24</v>
      </c>
      <c r="L369">
        <v>24</v>
      </c>
      <c r="M369" t="s">
        <v>41</v>
      </c>
      <c r="N369" t="s">
        <v>55</v>
      </c>
      <c r="O369">
        <v>14</v>
      </c>
      <c r="P369" t="s">
        <v>27</v>
      </c>
      <c r="Q369">
        <v>3</v>
      </c>
      <c r="R369">
        <v>199</v>
      </c>
    </row>
    <row r="370" spans="1:18" x14ac:dyDescent="0.3">
      <c r="A370" t="s">
        <v>429</v>
      </c>
      <c r="B370" s="1">
        <v>45710</v>
      </c>
      <c r="C370">
        <v>2025</v>
      </c>
      <c r="D370" t="s">
        <v>111</v>
      </c>
      <c r="E370" t="s">
        <v>43</v>
      </c>
      <c r="F370" t="s">
        <v>29</v>
      </c>
      <c r="G370">
        <v>33</v>
      </c>
      <c r="H370" t="s">
        <v>22</v>
      </c>
      <c r="I370" t="s">
        <v>37</v>
      </c>
      <c r="J370">
        <v>199</v>
      </c>
      <c r="K370" t="s">
        <v>49</v>
      </c>
      <c r="L370">
        <v>29</v>
      </c>
      <c r="M370" t="s">
        <v>31</v>
      </c>
      <c r="N370" t="s">
        <v>32</v>
      </c>
      <c r="O370">
        <v>20</v>
      </c>
      <c r="P370" t="s">
        <v>27</v>
      </c>
      <c r="Q370">
        <v>5</v>
      </c>
      <c r="R370">
        <v>199</v>
      </c>
    </row>
    <row r="371" spans="1:18" x14ac:dyDescent="0.3">
      <c r="A371" t="s">
        <v>430</v>
      </c>
      <c r="B371" s="1">
        <v>45689</v>
      </c>
      <c r="C371">
        <v>2025</v>
      </c>
      <c r="D371" t="s">
        <v>111</v>
      </c>
      <c r="E371" t="s">
        <v>52</v>
      </c>
      <c r="F371" t="s">
        <v>63</v>
      </c>
      <c r="G371">
        <v>47</v>
      </c>
      <c r="H371" t="s">
        <v>22</v>
      </c>
      <c r="I371" t="s">
        <v>48</v>
      </c>
      <c r="J371">
        <v>649</v>
      </c>
      <c r="K371" t="s">
        <v>49</v>
      </c>
      <c r="L371">
        <v>60</v>
      </c>
      <c r="M371" t="s">
        <v>41</v>
      </c>
      <c r="N371" t="s">
        <v>26</v>
      </c>
      <c r="O371">
        <v>14</v>
      </c>
      <c r="P371" t="s">
        <v>73</v>
      </c>
      <c r="Q371">
        <v>5</v>
      </c>
      <c r="R371">
        <v>0</v>
      </c>
    </row>
    <row r="372" spans="1:18" x14ac:dyDescent="0.3">
      <c r="A372" t="s">
        <v>431</v>
      </c>
      <c r="B372" s="1">
        <v>44998</v>
      </c>
      <c r="C372">
        <v>2023</v>
      </c>
      <c r="D372" t="s">
        <v>66</v>
      </c>
      <c r="E372" t="s">
        <v>43</v>
      </c>
      <c r="F372" t="s">
        <v>21</v>
      </c>
      <c r="G372">
        <v>23</v>
      </c>
      <c r="H372" t="s">
        <v>22</v>
      </c>
      <c r="I372" t="s">
        <v>37</v>
      </c>
      <c r="J372">
        <v>199</v>
      </c>
      <c r="K372" t="s">
        <v>24</v>
      </c>
      <c r="L372">
        <v>42</v>
      </c>
      <c r="M372" t="s">
        <v>31</v>
      </c>
      <c r="N372" t="s">
        <v>58</v>
      </c>
      <c r="O372">
        <v>30</v>
      </c>
      <c r="P372" t="s">
        <v>73</v>
      </c>
      <c r="Q372">
        <v>3</v>
      </c>
      <c r="R372">
        <v>0</v>
      </c>
    </row>
    <row r="373" spans="1:18" x14ac:dyDescent="0.3">
      <c r="A373" t="s">
        <v>432</v>
      </c>
      <c r="B373" s="1">
        <v>45922</v>
      </c>
      <c r="C373">
        <v>2025</v>
      </c>
      <c r="D373" t="s">
        <v>60</v>
      </c>
      <c r="E373" t="s">
        <v>43</v>
      </c>
      <c r="F373" t="s">
        <v>29</v>
      </c>
      <c r="G373">
        <v>24</v>
      </c>
      <c r="H373" t="s">
        <v>36</v>
      </c>
      <c r="I373" t="s">
        <v>23</v>
      </c>
      <c r="J373">
        <v>499</v>
      </c>
      <c r="K373" t="s">
        <v>30</v>
      </c>
      <c r="L373">
        <v>57</v>
      </c>
      <c r="M373" t="s">
        <v>25</v>
      </c>
      <c r="N373" t="s">
        <v>55</v>
      </c>
      <c r="O373">
        <v>30</v>
      </c>
      <c r="P373" t="s">
        <v>27</v>
      </c>
      <c r="Q373">
        <v>5</v>
      </c>
      <c r="R373">
        <v>499</v>
      </c>
    </row>
    <row r="374" spans="1:18" x14ac:dyDescent="0.3">
      <c r="A374" t="s">
        <v>433</v>
      </c>
      <c r="B374" s="1">
        <v>44620</v>
      </c>
      <c r="C374">
        <v>2022</v>
      </c>
      <c r="D374" t="s">
        <v>111</v>
      </c>
      <c r="E374" t="s">
        <v>43</v>
      </c>
      <c r="F374" t="s">
        <v>21</v>
      </c>
      <c r="G374">
        <v>21</v>
      </c>
      <c r="H374" t="s">
        <v>22</v>
      </c>
      <c r="I374" t="s">
        <v>37</v>
      </c>
      <c r="J374">
        <v>199</v>
      </c>
      <c r="K374" t="s">
        <v>44</v>
      </c>
      <c r="L374">
        <v>51</v>
      </c>
      <c r="M374" t="s">
        <v>31</v>
      </c>
      <c r="N374" t="s">
        <v>26</v>
      </c>
      <c r="O374">
        <v>6</v>
      </c>
      <c r="P374" t="s">
        <v>73</v>
      </c>
      <c r="Q374">
        <v>4</v>
      </c>
      <c r="R374">
        <v>0</v>
      </c>
    </row>
    <row r="375" spans="1:18" x14ac:dyDescent="0.3">
      <c r="A375" t="s">
        <v>434</v>
      </c>
      <c r="B375" s="1">
        <v>45840</v>
      </c>
      <c r="C375">
        <v>2025</v>
      </c>
      <c r="D375" t="s">
        <v>85</v>
      </c>
      <c r="E375" t="s">
        <v>43</v>
      </c>
      <c r="F375" t="s">
        <v>63</v>
      </c>
      <c r="G375">
        <v>24</v>
      </c>
      <c r="H375" t="s">
        <v>22</v>
      </c>
      <c r="I375" t="s">
        <v>37</v>
      </c>
      <c r="J375">
        <v>199</v>
      </c>
      <c r="K375" t="s">
        <v>75</v>
      </c>
      <c r="L375">
        <v>30</v>
      </c>
      <c r="M375" t="s">
        <v>45</v>
      </c>
      <c r="N375" t="s">
        <v>26</v>
      </c>
      <c r="O375">
        <v>11</v>
      </c>
      <c r="P375" t="s">
        <v>73</v>
      </c>
      <c r="Q375">
        <v>4</v>
      </c>
      <c r="R375">
        <v>0</v>
      </c>
    </row>
    <row r="376" spans="1:18" x14ac:dyDescent="0.3">
      <c r="A376" t="s">
        <v>435</v>
      </c>
      <c r="B376" s="1">
        <v>45442</v>
      </c>
      <c r="C376">
        <v>2024</v>
      </c>
      <c r="D376" t="s">
        <v>79</v>
      </c>
      <c r="E376" t="s">
        <v>35</v>
      </c>
      <c r="F376" t="s">
        <v>63</v>
      </c>
      <c r="G376">
        <v>52</v>
      </c>
      <c r="H376" t="s">
        <v>36</v>
      </c>
      <c r="I376" t="s">
        <v>23</v>
      </c>
      <c r="J376">
        <v>499</v>
      </c>
      <c r="K376" t="s">
        <v>44</v>
      </c>
      <c r="L376">
        <v>24</v>
      </c>
      <c r="M376" t="s">
        <v>25</v>
      </c>
      <c r="N376" t="s">
        <v>58</v>
      </c>
      <c r="O376">
        <v>23</v>
      </c>
      <c r="P376" t="s">
        <v>27</v>
      </c>
      <c r="Q376">
        <v>5</v>
      </c>
      <c r="R376">
        <v>499</v>
      </c>
    </row>
    <row r="377" spans="1:18" x14ac:dyDescent="0.3">
      <c r="A377" t="s">
        <v>436</v>
      </c>
      <c r="B377" s="1">
        <v>45662</v>
      </c>
      <c r="C377">
        <v>2025</v>
      </c>
      <c r="D377" t="s">
        <v>62</v>
      </c>
      <c r="E377" t="s">
        <v>43</v>
      </c>
      <c r="F377" t="s">
        <v>21</v>
      </c>
      <c r="G377">
        <v>32</v>
      </c>
      <c r="H377" t="s">
        <v>22</v>
      </c>
      <c r="I377" t="s">
        <v>48</v>
      </c>
      <c r="J377">
        <v>649</v>
      </c>
      <c r="K377" t="s">
        <v>57</v>
      </c>
      <c r="L377">
        <v>43</v>
      </c>
      <c r="M377" t="s">
        <v>25</v>
      </c>
      <c r="N377" t="s">
        <v>55</v>
      </c>
      <c r="O377">
        <v>22</v>
      </c>
      <c r="P377" t="s">
        <v>27</v>
      </c>
      <c r="Q377">
        <v>5</v>
      </c>
      <c r="R377">
        <v>649</v>
      </c>
    </row>
    <row r="378" spans="1:18" x14ac:dyDescent="0.3">
      <c r="A378" t="s">
        <v>437</v>
      </c>
      <c r="B378" s="1">
        <v>44718</v>
      </c>
      <c r="C378">
        <v>2022</v>
      </c>
      <c r="D378" t="s">
        <v>69</v>
      </c>
      <c r="E378" t="s">
        <v>52</v>
      </c>
      <c r="F378" t="s">
        <v>29</v>
      </c>
      <c r="G378">
        <v>24</v>
      </c>
      <c r="H378" t="s">
        <v>36</v>
      </c>
      <c r="I378" t="s">
        <v>23</v>
      </c>
      <c r="J378">
        <v>499</v>
      </c>
      <c r="K378" t="s">
        <v>53</v>
      </c>
      <c r="L378">
        <v>33</v>
      </c>
      <c r="M378" t="s">
        <v>41</v>
      </c>
      <c r="N378" t="s">
        <v>26</v>
      </c>
      <c r="O378">
        <v>42</v>
      </c>
      <c r="P378" t="s">
        <v>27</v>
      </c>
      <c r="Q378">
        <v>3</v>
      </c>
      <c r="R378">
        <v>499</v>
      </c>
    </row>
    <row r="379" spans="1:18" x14ac:dyDescent="0.3">
      <c r="A379" t="s">
        <v>438</v>
      </c>
      <c r="B379" s="1">
        <v>45466</v>
      </c>
      <c r="C379">
        <v>2024</v>
      </c>
      <c r="D379" t="s">
        <v>69</v>
      </c>
      <c r="E379" t="s">
        <v>20</v>
      </c>
      <c r="F379" t="s">
        <v>29</v>
      </c>
      <c r="G379">
        <v>43</v>
      </c>
      <c r="H379" t="s">
        <v>36</v>
      </c>
      <c r="I379" t="s">
        <v>23</v>
      </c>
      <c r="J379">
        <v>499</v>
      </c>
      <c r="K379" t="s">
        <v>75</v>
      </c>
      <c r="L379">
        <v>43</v>
      </c>
      <c r="M379" t="s">
        <v>25</v>
      </c>
      <c r="N379" t="s">
        <v>58</v>
      </c>
      <c r="O379">
        <v>46</v>
      </c>
      <c r="P379" t="s">
        <v>27</v>
      </c>
      <c r="Q379">
        <v>4</v>
      </c>
      <c r="R379">
        <v>499</v>
      </c>
    </row>
    <row r="380" spans="1:18" x14ac:dyDescent="0.3">
      <c r="A380" t="s">
        <v>439</v>
      </c>
      <c r="B380" s="1">
        <v>44750</v>
      </c>
      <c r="C380">
        <v>2022</v>
      </c>
      <c r="D380" t="s">
        <v>85</v>
      </c>
      <c r="E380" t="s">
        <v>20</v>
      </c>
      <c r="F380" t="s">
        <v>63</v>
      </c>
      <c r="G380">
        <v>34</v>
      </c>
      <c r="H380" t="s">
        <v>22</v>
      </c>
      <c r="I380" t="s">
        <v>23</v>
      </c>
      <c r="J380">
        <v>499</v>
      </c>
      <c r="K380" t="s">
        <v>67</v>
      </c>
      <c r="L380">
        <v>21</v>
      </c>
      <c r="M380" t="s">
        <v>41</v>
      </c>
      <c r="N380" t="s">
        <v>55</v>
      </c>
      <c r="O380">
        <v>8</v>
      </c>
      <c r="P380" t="s">
        <v>27</v>
      </c>
      <c r="Q380">
        <v>4</v>
      </c>
      <c r="R380">
        <v>499</v>
      </c>
    </row>
    <row r="381" spans="1:18" x14ac:dyDescent="0.3">
      <c r="A381" t="s">
        <v>440</v>
      </c>
      <c r="B381" s="1">
        <v>44688</v>
      </c>
      <c r="C381">
        <v>2022</v>
      </c>
      <c r="D381" t="s">
        <v>79</v>
      </c>
      <c r="E381" t="s">
        <v>35</v>
      </c>
      <c r="F381" t="s">
        <v>21</v>
      </c>
      <c r="G381">
        <v>37</v>
      </c>
      <c r="H381" t="s">
        <v>22</v>
      </c>
      <c r="I381" t="s">
        <v>48</v>
      </c>
      <c r="J381">
        <v>649</v>
      </c>
      <c r="K381" t="s">
        <v>24</v>
      </c>
      <c r="L381">
        <v>49</v>
      </c>
      <c r="M381" t="s">
        <v>41</v>
      </c>
      <c r="N381" t="s">
        <v>32</v>
      </c>
      <c r="O381">
        <v>32</v>
      </c>
      <c r="P381" t="s">
        <v>27</v>
      </c>
      <c r="Q381">
        <v>4</v>
      </c>
      <c r="R381">
        <v>649</v>
      </c>
    </row>
    <row r="382" spans="1:18" x14ac:dyDescent="0.3">
      <c r="A382" t="s">
        <v>441</v>
      </c>
      <c r="B382" s="1">
        <v>45787</v>
      </c>
      <c r="C382">
        <v>2025</v>
      </c>
      <c r="D382" t="s">
        <v>79</v>
      </c>
      <c r="E382" t="s">
        <v>43</v>
      </c>
      <c r="F382" t="s">
        <v>29</v>
      </c>
      <c r="G382">
        <v>26</v>
      </c>
      <c r="H382" t="s">
        <v>22</v>
      </c>
      <c r="I382" t="s">
        <v>23</v>
      </c>
      <c r="J382">
        <v>499</v>
      </c>
      <c r="K382" t="s">
        <v>67</v>
      </c>
      <c r="L382">
        <v>42</v>
      </c>
      <c r="M382" t="s">
        <v>45</v>
      </c>
      <c r="N382" t="s">
        <v>32</v>
      </c>
      <c r="O382">
        <v>38</v>
      </c>
      <c r="P382" t="s">
        <v>27</v>
      </c>
      <c r="Q382">
        <v>5</v>
      </c>
      <c r="R382">
        <v>499</v>
      </c>
    </row>
    <row r="383" spans="1:18" x14ac:dyDescent="0.3">
      <c r="A383" t="s">
        <v>442</v>
      </c>
      <c r="B383" s="1">
        <v>45462</v>
      </c>
      <c r="C383">
        <v>2024</v>
      </c>
      <c r="D383" t="s">
        <v>69</v>
      </c>
      <c r="E383" t="s">
        <v>20</v>
      </c>
      <c r="F383" t="s">
        <v>29</v>
      </c>
      <c r="G383">
        <v>48</v>
      </c>
      <c r="H383" t="s">
        <v>22</v>
      </c>
      <c r="I383" t="s">
        <v>48</v>
      </c>
      <c r="J383">
        <v>649</v>
      </c>
      <c r="K383" t="s">
        <v>44</v>
      </c>
      <c r="L383">
        <v>52</v>
      </c>
      <c r="M383" t="s">
        <v>31</v>
      </c>
      <c r="N383" t="s">
        <v>55</v>
      </c>
      <c r="O383">
        <v>9</v>
      </c>
      <c r="P383" t="s">
        <v>27</v>
      </c>
      <c r="Q383">
        <v>4</v>
      </c>
      <c r="R383">
        <v>649</v>
      </c>
    </row>
    <row r="384" spans="1:18" x14ac:dyDescent="0.3">
      <c r="A384" t="s">
        <v>443</v>
      </c>
      <c r="B384" s="1">
        <v>45291</v>
      </c>
      <c r="C384">
        <v>2023</v>
      </c>
      <c r="D384" t="s">
        <v>39</v>
      </c>
      <c r="E384" t="s">
        <v>43</v>
      </c>
      <c r="F384" t="s">
        <v>29</v>
      </c>
      <c r="G384">
        <v>19</v>
      </c>
      <c r="H384" t="s">
        <v>22</v>
      </c>
      <c r="I384" t="s">
        <v>37</v>
      </c>
      <c r="J384">
        <v>199</v>
      </c>
      <c r="K384" t="s">
        <v>30</v>
      </c>
      <c r="L384">
        <v>60</v>
      </c>
      <c r="M384" t="s">
        <v>45</v>
      </c>
      <c r="N384" t="s">
        <v>26</v>
      </c>
      <c r="O384">
        <v>44</v>
      </c>
      <c r="P384" t="s">
        <v>27</v>
      </c>
      <c r="Q384">
        <v>5</v>
      </c>
      <c r="R384">
        <v>199</v>
      </c>
    </row>
    <row r="385" spans="1:18" x14ac:dyDescent="0.3">
      <c r="A385" t="s">
        <v>444</v>
      </c>
      <c r="B385" s="1">
        <v>45343</v>
      </c>
      <c r="C385">
        <v>2024</v>
      </c>
      <c r="D385" t="s">
        <v>111</v>
      </c>
      <c r="E385" t="s">
        <v>52</v>
      </c>
      <c r="F385" t="s">
        <v>63</v>
      </c>
      <c r="G385">
        <v>19</v>
      </c>
      <c r="H385" t="s">
        <v>22</v>
      </c>
      <c r="I385" t="s">
        <v>48</v>
      </c>
      <c r="J385">
        <v>649</v>
      </c>
      <c r="K385" t="s">
        <v>49</v>
      </c>
      <c r="L385">
        <v>39</v>
      </c>
      <c r="M385" t="s">
        <v>45</v>
      </c>
      <c r="N385" t="s">
        <v>55</v>
      </c>
      <c r="O385">
        <v>39</v>
      </c>
      <c r="P385" t="s">
        <v>27</v>
      </c>
      <c r="Q385">
        <v>4</v>
      </c>
      <c r="R385">
        <v>649</v>
      </c>
    </row>
    <row r="386" spans="1:18" x14ac:dyDescent="0.3">
      <c r="A386" t="s">
        <v>445</v>
      </c>
      <c r="B386" s="1">
        <v>45438</v>
      </c>
      <c r="C386">
        <v>2024</v>
      </c>
      <c r="D386" t="s">
        <v>79</v>
      </c>
      <c r="E386" t="s">
        <v>35</v>
      </c>
      <c r="F386" t="s">
        <v>63</v>
      </c>
      <c r="G386">
        <v>21</v>
      </c>
      <c r="H386" t="s">
        <v>36</v>
      </c>
      <c r="I386" t="s">
        <v>48</v>
      </c>
      <c r="J386">
        <v>649</v>
      </c>
      <c r="K386" t="s">
        <v>49</v>
      </c>
      <c r="L386">
        <v>51</v>
      </c>
      <c r="M386" t="s">
        <v>25</v>
      </c>
      <c r="N386" t="s">
        <v>55</v>
      </c>
      <c r="O386">
        <v>36</v>
      </c>
      <c r="P386" t="s">
        <v>27</v>
      </c>
      <c r="Q386">
        <v>3</v>
      </c>
      <c r="R386">
        <v>649</v>
      </c>
    </row>
    <row r="387" spans="1:18" x14ac:dyDescent="0.3">
      <c r="A387" t="s">
        <v>446</v>
      </c>
      <c r="B387" s="1">
        <v>45398</v>
      </c>
      <c r="C387">
        <v>2024</v>
      </c>
      <c r="D387" t="s">
        <v>51</v>
      </c>
      <c r="E387" t="s">
        <v>43</v>
      </c>
      <c r="F387" t="s">
        <v>21</v>
      </c>
      <c r="G387">
        <v>51</v>
      </c>
      <c r="H387" t="s">
        <v>22</v>
      </c>
      <c r="I387" t="s">
        <v>37</v>
      </c>
      <c r="J387">
        <v>199</v>
      </c>
      <c r="K387" t="s">
        <v>57</v>
      </c>
      <c r="L387">
        <v>46</v>
      </c>
      <c r="M387" t="s">
        <v>41</v>
      </c>
      <c r="N387" t="s">
        <v>58</v>
      </c>
      <c r="O387">
        <v>30</v>
      </c>
      <c r="P387" t="s">
        <v>73</v>
      </c>
      <c r="Q387">
        <v>5</v>
      </c>
      <c r="R387">
        <v>0</v>
      </c>
    </row>
    <row r="388" spans="1:18" x14ac:dyDescent="0.3">
      <c r="A388" t="s">
        <v>447</v>
      </c>
      <c r="B388" s="1">
        <v>45036</v>
      </c>
      <c r="C388">
        <v>2023</v>
      </c>
      <c r="D388" t="s">
        <v>51</v>
      </c>
      <c r="E388" t="s">
        <v>52</v>
      </c>
      <c r="F388" t="s">
        <v>63</v>
      </c>
      <c r="G388">
        <v>55</v>
      </c>
      <c r="H388" t="s">
        <v>36</v>
      </c>
      <c r="I388" t="s">
        <v>23</v>
      </c>
      <c r="J388">
        <v>499</v>
      </c>
      <c r="K388" t="s">
        <v>57</v>
      </c>
      <c r="L388">
        <v>24</v>
      </c>
      <c r="M388" t="s">
        <v>25</v>
      </c>
      <c r="N388" t="s">
        <v>32</v>
      </c>
      <c r="O388">
        <v>7</v>
      </c>
      <c r="P388" t="s">
        <v>27</v>
      </c>
      <c r="Q388">
        <v>4</v>
      </c>
      <c r="R388">
        <v>499</v>
      </c>
    </row>
    <row r="389" spans="1:18" x14ac:dyDescent="0.3">
      <c r="A389" t="s">
        <v>448</v>
      </c>
      <c r="B389" s="1">
        <v>45647</v>
      </c>
      <c r="C389">
        <v>2024</v>
      </c>
      <c r="D389" t="s">
        <v>39</v>
      </c>
      <c r="E389" t="s">
        <v>35</v>
      </c>
      <c r="F389" t="s">
        <v>29</v>
      </c>
      <c r="G389">
        <v>24</v>
      </c>
      <c r="H389" t="s">
        <v>22</v>
      </c>
      <c r="I389" t="s">
        <v>48</v>
      </c>
      <c r="J389">
        <v>649</v>
      </c>
      <c r="K389" t="s">
        <v>49</v>
      </c>
      <c r="L389">
        <v>28</v>
      </c>
      <c r="M389" t="s">
        <v>25</v>
      </c>
      <c r="N389" t="s">
        <v>55</v>
      </c>
      <c r="O389">
        <v>5</v>
      </c>
      <c r="P389" t="s">
        <v>27</v>
      </c>
      <c r="Q389">
        <v>3</v>
      </c>
      <c r="R389">
        <v>649</v>
      </c>
    </row>
    <row r="390" spans="1:18" x14ac:dyDescent="0.3">
      <c r="A390" t="s">
        <v>449</v>
      </c>
      <c r="B390" s="1">
        <v>44702</v>
      </c>
      <c r="C390">
        <v>2022</v>
      </c>
      <c r="D390" t="s">
        <v>79</v>
      </c>
      <c r="E390" t="s">
        <v>52</v>
      </c>
      <c r="F390" t="s">
        <v>63</v>
      </c>
      <c r="G390">
        <v>50</v>
      </c>
      <c r="H390" t="s">
        <v>22</v>
      </c>
      <c r="I390" t="s">
        <v>23</v>
      </c>
      <c r="J390">
        <v>499</v>
      </c>
      <c r="K390" t="s">
        <v>57</v>
      </c>
      <c r="L390">
        <v>47</v>
      </c>
      <c r="M390" t="s">
        <v>41</v>
      </c>
      <c r="N390" t="s">
        <v>55</v>
      </c>
      <c r="O390">
        <v>38</v>
      </c>
      <c r="P390" t="s">
        <v>73</v>
      </c>
      <c r="Q390">
        <v>2</v>
      </c>
      <c r="R390">
        <v>0</v>
      </c>
    </row>
    <row r="391" spans="1:18" x14ac:dyDescent="0.3">
      <c r="A391" t="s">
        <v>450</v>
      </c>
      <c r="B391" s="1">
        <v>45043</v>
      </c>
      <c r="C391">
        <v>2023</v>
      </c>
      <c r="D391" t="s">
        <v>51</v>
      </c>
      <c r="E391" t="s">
        <v>52</v>
      </c>
      <c r="F391" t="s">
        <v>63</v>
      </c>
      <c r="G391">
        <v>37</v>
      </c>
      <c r="H391" t="s">
        <v>22</v>
      </c>
      <c r="I391" t="s">
        <v>23</v>
      </c>
      <c r="J391">
        <v>499</v>
      </c>
      <c r="K391" t="s">
        <v>24</v>
      </c>
      <c r="L391">
        <v>44</v>
      </c>
      <c r="M391" t="s">
        <v>25</v>
      </c>
      <c r="N391" t="s">
        <v>32</v>
      </c>
      <c r="O391">
        <v>14</v>
      </c>
      <c r="P391" t="s">
        <v>27</v>
      </c>
      <c r="Q391">
        <v>4</v>
      </c>
      <c r="R391">
        <v>499</v>
      </c>
    </row>
    <row r="392" spans="1:18" x14ac:dyDescent="0.3">
      <c r="A392" t="s">
        <v>451</v>
      </c>
      <c r="B392" s="1">
        <v>44752</v>
      </c>
      <c r="C392">
        <v>2022</v>
      </c>
      <c r="D392" t="s">
        <v>85</v>
      </c>
      <c r="E392" t="s">
        <v>52</v>
      </c>
      <c r="F392" t="s">
        <v>63</v>
      </c>
      <c r="G392">
        <v>40</v>
      </c>
      <c r="H392" t="s">
        <v>36</v>
      </c>
      <c r="I392" t="s">
        <v>23</v>
      </c>
      <c r="J392">
        <v>499</v>
      </c>
      <c r="K392" t="s">
        <v>40</v>
      </c>
      <c r="L392">
        <v>30</v>
      </c>
      <c r="M392" t="s">
        <v>31</v>
      </c>
      <c r="N392" t="s">
        <v>26</v>
      </c>
      <c r="O392">
        <v>24</v>
      </c>
      <c r="P392" t="s">
        <v>27</v>
      </c>
      <c r="Q392">
        <v>3</v>
      </c>
      <c r="R392">
        <v>499</v>
      </c>
    </row>
    <row r="393" spans="1:18" x14ac:dyDescent="0.3">
      <c r="A393" t="s">
        <v>452</v>
      </c>
      <c r="B393" s="1">
        <v>45969</v>
      </c>
      <c r="C393">
        <v>2025</v>
      </c>
      <c r="D393" t="s">
        <v>19</v>
      </c>
      <c r="E393" t="s">
        <v>52</v>
      </c>
      <c r="F393" t="s">
        <v>63</v>
      </c>
      <c r="G393">
        <v>41</v>
      </c>
      <c r="H393" t="s">
        <v>36</v>
      </c>
      <c r="I393" t="s">
        <v>23</v>
      </c>
      <c r="J393">
        <v>499</v>
      </c>
      <c r="K393" t="s">
        <v>49</v>
      </c>
      <c r="L393">
        <v>47</v>
      </c>
      <c r="M393" t="s">
        <v>25</v>
      </c>
      <c r="N393" t="s">
        <v>26</v>
      </c>
      <c r="O393">
        <v>14</v>
      </c>
      <c r="P393" t="s">
        <v>27</v>
      </c>
      <c r="Q393">
        <v>3</v>
      </c>
      <c r="R393">
        <v>499</v>
      </c>
    </row>
    <row r="394" spans="1:18" x14ac:dyDescent="0.3">
      <c r="A394" t="s">
        <v>453</v>
      </c>
      <c r="B394" s="1">
        <v>45098</v>
      </c>
      <c r="C394">
        <v>2023</v>
      </c>
      <c r="D394" t="s">
        <v>69</v>
      </c>
      <c r="E394" t="s">
        <v>52</v>
      </c>
      <c r="F394" t="s">
        <v>21</v>
      </c>
      <c r="G394">
        <v>31</v>
      </c>
      <c r="H394" t="s">
        <v>22</v>
      </c>
      <c r="I394" t="s">
        <v>48</v>
      </c>
      <c r="J394">
        <v>649</v>
      </c>
      <c r="K394" t="s">
        <v>49</v>
      </c>
      <c r="L394">
        <v>38</v>
      </c>
      <c r="M394" t="s">
        <v>41</v>
      </c>
      <c r="N394" t="s">
        <v>32</v>
      </c>
      <c r="O394">
        <v>45</v>
      </c>
      <c r="P394" t="s">
        <v>27</v>
      </c>
      <c r="Q394">
        <v>3</v>
      </c>
      <c r="R394">
        <v>649</v>
      </c>
    </row>
    <row r="395" spans="1:18" x14ac:dyDescent="0.3">
      <c r="A395" t="s">
        <v>454</v>
      </c>
      <c r="B395" s="1">
        <v>45675</v>
      </c>
      <c r="C395">
        <v>2025</v>
      </c>
      <c r="D395" t="s">
        <v>62</v>
      </c>
      <c r="E395" t="s">
        <v>20</v>
      </c>
      <c r="F395" t="s">
        <v>29</v>
      </c>
      <c r="G395">
        <v>52</v>
      </c>
      <c r="H395" t="s">
        <v>22</v>
      </c>
      <c r="I395" t="s">
        <v>23</v>
      </c>
      <c r="J395">
        <v>499</v>
      </c>
      <c r="K395" t="s">
        <v>75</v>
      </c>
      <c r="L395">
        <v>40</v>
      </c>
      <c r="M395" t="s">
        <v>31</v>
      </c>
      <c r="N395" t="s">
        <v>26</v>
      </c>
      <c r="O395">
        <v>6</v>
      </c>
      <c r="P395" t="s">
        <v>73</v>
      </c>
      <c r="Q395">
        <v>2</v>
      </c>
      <c r="R395">
        <v>0</v>
      </c>
    </row>
    <row r="396" spans="1:18" x14ac:dyDescent="0.3">
      <c r="A396" t="s">
        <v>455</v>
      </c>
      <c r="B396" s="1">
        <v>45002</v>
      </c>
      <c r="C396">
        <v>2023</v>
      </c>
      <c r="D396" t="s">
        <v>66</v>
      </c>
      <c r="E396" t="s">
        <v>20</v>
      </c>
      <c r="F396" t="s">
        <v>21</v>
      </c>
      <c r="G396">
        <v>38</v>
      </c>
      <c r="H396" t="s">
        <v>22</v>
      </c>
      <c r="I396" t="s">
        <v>23</v>
      </c>
      <c r="J396">
        <v>499</v>
      </c>
      <c r="K396" t="s">
        <v>75</v>
      </c>
      <c r="L396">
        <v>40</v>
      </c>
      <c r="M396" t="s">
        <v>41</v>
      </c>
      <c r="N396" t="s">
        <v>26</v>
      </c>
      <c r="O396">
        <v>48</v>
      </c>
      <c r="P396" t="s">
        <v>27</v>
      </c>
      <c r="Q396">
        <v>4</v>
      </c>
      <c r="R396">
        <v>499</v>
      </c>
    </row>
    <row r="397" spans="1:18" x14ac:dyDescent="0.3">
      <c r="A397" t="s">
        <v>456</v>
      </c>
      <c r="B397" s="1">
        <v>45569</v>
      </c>
      <c r="C397">
        <v>2024</v>
      </c>
      <c r="D397" t="s">
        <v>47</v>
      </c>
      <c r="E397" t="s">
        <v>20</v>
      </c>
      <c r="F397" t="s">
        <v>63</v>
      </c>
      <c r="G397">
        <v>38</v>
      </c>
      <c r="H397" t="s">
        <v>36</v>
      </c>
      <c r="I397" t="s">
        <v>23</v>
      </c>
      <c r="J397">
        <v>499</v>
      </c>
      <c r="K397" t="s">
        <v>67</v>
      </c>
      <c r="L397">
        <v>43</v>
      </c>
      <c r="M397" t="s">
        <v>31</v>
      </c>
      <c r="N397" t="s">
        <v>58</v>
      </c>
      <c r="O397">
        <v>4</v>
      </c>
      <c r="P397" t="s">
        <v>73</v>
      </c>
      <c r="Q397">
        <v>2</v>
      </c>
      <c r="R397">
        <v>0</v>
      </c>
    </row>
    <row r="398" spans="1:18" x14ac:dyDescent="0.3">
      <c r="A398" t="s">
        <v>457</v>
      </c>
      <c r="B398" s="1">
        <v>45998</v>
      </c>
      <c r="C398">
        <v>2025</v>
      </c>
      <c r="D398" t="s">
        <v>39</v>
      </c>
      <c r="E398" t="s">
        <v>35</v>
      </c>
      <c r="F398" t="s">
        <v>63</v>
      </c>
      <c r="G398">
        <v>27</v>
      </c>
      <c r="H398" t="s">
        <v>22</v>
      </c>
      <c r="I398" t="s">
        <v>37</v>
      </c>
      <c r="J398">
        <v>199</v>
      </c>
      <c r="K398" t="s">
        <v>44</v>
      </c>
      <c r="L398">
        <v>25</v>
      </c>
      <c r="M398" t="s">
        <v>41</v>
      </c>
      <c r="N398" t="s">
        <v>58</v>
      </c>
      <c r="O398">
        <v>17</v>
      </c>
      <c r="P398" t="s">
        <v>27</v>
      </c>
      <c r="Q398">
        <v>4</v>
      </c>
      <c r="R398">
        <v>199</v>
      </c>
    </row>
    <row r="399" spans="1:18" x14ac:dyDescent="0.3">
      <c r="A399" t="s">
        <v>458</v>
      </c>
      <c r="B399" s="1">
        <v>44979</v>
      </c>
      <c r="C399">
        <v>2023</v>
      </c>
      <c r="D399" t="s">
        <v>111</v>
      </c>
      <c r="E399" t="s">
        <v>20</v>
      </c>
      <c r="F399" t="s">
        <v>21</v>
      </c>
      <c r="G399">
        <v>22</v>
      </c>
      <c r="H399" t="s">
        <v>36</v>
      </c>
      <c r="I399" t="s">
        <v>37</v>
      </c>
      <c r="J399">
        <v>199</v>
      </c>
      <c r="K399" t="s">
        <v>24</v>
      </c>
      <c r="L399">
        <v>55</v>
      </c>
      <c r="M399" t="s">
        <v>45</v>
      </c>
      <c r="N399" t="s">
        <v>26</v>
      </c>
      <c r="O399">
        <v>39</v>
      </c>
      <c r="P399" t="s">
        <v>27</v>
      </c>
      <c r="Q399">
        <v>3</v>
      </c>
      <c r="R399">
        <v>199</v>
      </c>
    </row>
    <row r="400" spans="1:18" x14ac:dyDescent="0.3">
      <c r="A400" t="s">
        <v>459</v>
      </c>
      <c r="B400" s="1">
        <v>45864</v>
      </c>
      <c r="C400">
        <v>2025</v>
      </c>
      <c r="D400" t="s">
        <v>85</v>
      </c>
      <c r="E400" t="s">
        <v>43</v>
      </c>
      <c r="F400" t="s">
        <v>29</v>
      </c>
      <c r="G400">
        <v>18</v>
      </c>
      <c r="H400" t="s">
        <v>36</v>
      </c>
      <c r="I400" t="s">
        <v>37</v>
      </c>
      <c r="J400">
        <v>199</v>
      </c>
      <c r="K400" t="s">
        <v>49</v>
      </c>
      <c r="L400">
        <v>54</v>
      </c>
      <c r="M400" t="s">
        <v>41</v>
      </c>
      <c r="N400" t="s">
        <v>58</v>
      </c>
      <c r="O400">
        <v>6</v>
      </c>
      <c r="P400" t="s">
        <v>27</v>
      </c>
      <c r="Q400">
        <v>5</v>
      </c>
      <c r="R400">
        <v>199</v>
      </c>
    </row>
    <row r="401" spans="1:18" x14ac:dyDescent="0.3">
      <c r="A401" t="s">
        <v>460</v>
      </c>
      <c r="B401" s="1">
        <v>45997</v>
      </c>
      <c r="C401">
        <v>2025</v>
      </c>
      <c r="D401" t="s">
        <v>39</v>
      </c>
      <c r="E401" t="s">
        <v>43</v>
      </c>
      <c r="F401" t="s">
        <v>63</v>
      </c>
      <c r="G401">
        <v>28</v>
      </c>
      <c r="H401" t="s">
        <v>22</v>
      </c>
      <c r="I401" t="s">
        <v>48</v>
      </c>
      <c r="J401">
        <v>649</v>
      </c>
      <c r="K401" t="s">
        <v>67</v>
      </c>
      <c r="L401">
        <v>28</v>
      </c>
      <c r="M401" t="s">
        <v>45</v>
      </c>
      <c r="N401" t="s">
        <v>26</v>
      </c>
      <c r="O401">
        <v>27</v>
      </c>
      <c r="P401" t="s">
        <v>27</v>
      </c>
      <c r="Q401">
        <v>3</v>
      </c>
      <c r="R401">
        <v>649</v>
      </c>
    </row>
    <row r="402" spans="1:18" x14ac:dyDescent="0.3">
      <c r="A402" t="s">
        <v>461</v>
      </c>
      <c r="B402" s="1">
        <v>44835</v>
      </c>
      <c r="C402">
        <v>2022</v>
      </c>
      <c r="D402" t="s">
        <v>47</v>
      </c>
      <c r="E402" t="s">
        <v>43</v>
      </c>
      <c r="F402" t="s">
        <v>29</v>
      </c>
      <c r="G402">
        <v>42</v>
      </c>
      <c r="H402" t="s">
        <v>22</v>
      </c>
      <c r="I402" t="s">
        <v>23</v>
      </c>
      <c r="J402">
        <v>499</v>
      </c>
      <c r="K402" t="s">
        <v>53</v>
      </c>
      <c r="L402">
        <v>33</v>
      </c>
      <c r="M402" t="s">
        <v>45</v>
      </c>
      <c r="N402" t="s">
        <v>32</v>
      </c>
      <c r="O402">
        <v>21</v>
      </c>
      <c r="P402" t="s">
        <v>73</v>
      </c>
      <c r="Q402">
        <v>5</v>
      </c>
      <c r="R402">
        <v>0</v>
      </c>
    </row>
    <row r="403" spans="1:18" x14ac:dyDescent="0.3">
      <c r="A403" t="s">
        <v>462</v>
      </c>
      <c r="B403" s="1">
        <v>44567</v>
      </c>
      <c r="C403">
        <v>2022</v>
      </c>
      <c r="D403" t="s">
        <v>62</v>
      </c>
      <c r="E403" t="s">
        <v>43</v>
      </c>
      <c r="F403" t="s">
        <v>21</v>
      </c>
      <c r="G403">
        <v>31</v>
      </c>
      <c r="H403" t="s">
        <v>36</v>
      </c>
      <c r="I403" t="s">
        <v>23</v>
      </c>
      <c r="J403">
        <v>499</v>
      </c>
      <c r="K403" t="s">
        <v>24</v>
      </c>
      <c r="L403">
        <v>25</v>
      </c>
      <c r="M403" t="s">
        <v>25</v>
      </c>
      <c r="N403" t="s">
        <v>55</v>
      </c>
      <c r="O403">
        <v>41</v>
      </c>
      <c r="P403" t="s">
        <v>27</v>
      </c>
      <c r="Q403">
        <v>3</v>
      </c>
      <c r="R403">
        <v>499</v>
      </c>
    </row>
    <row r="404" spans="1:18" x14ac:dyDescent="0.3">
      <c r="A404" t="s">
        <v>463</v>
      </c>
      <c r="B404" s="1">
        <v>45387</v>
      </c>
      <c r="C404">
        <v>2024</v>
      </c>
      <c r="D404" t="s">
        <v>51</v>
      </c>
      <c r="E404" t="s">
        <v>35</v>
      </c>
      <c r="F404" t="s">
        <v>29</v>
      </c>
      <c r="G404">
        <v>28</v>
      </c>
      <c r="H404" t="s">
        <v>22</v>
      </c>
      <c r="I404" t="s">
        <v>37</v>
      </c>
      <c r="J404">
        <v>199</v>
      </c>
      <c r="K404" t="s">
        <v>53</v>
      </c>
      <c r="L404">
        <v>45</v>
      </c>
      <c r="M404" t="s">
        <v>31</v>
      </c>
      <c r="N404" t="s">
        <v>55</v>
      </c>
      <c r="O404">
        <v>18</v>
      </c>
      <c r="P404" t="s">
        <v>27</v>
      </c>
      <c r="Q404">
        <v>3</v>
      </c>
      <c r="R404">
        <v>199</v>
      </c>
    </row>
    <row r="405" spans="1:18" x14ac:dyDescent="0.3">
      <c r="A405" t="s">
        <v>464</v>
      </c>
      <c r="B405" s="1">
        <v>45547</v>
      </c>
      <c r="C405">
        <v>2024</v>
      </c>
      <c r="D405" t="s">
        <v>60</v>
      </c>
      <c r="E405" t="s">
        <v>20</v>
      </c>
      <c r="F405" t="s">
        <v>29</v>
      </c>
      <c r="G405">
        <v>41</v>
      </c>
      <c r="H405" t="s">
        <v>22</v>
      </c>
      <c r="I405" t="s">
        <v>37</v>
      </c>
      <c r="J405">
        <v>199</v>
      </c>
      <c r="K405" t="s">
        <v>67</v>
      </c>
      <c r="L405">
        <v>34</v>
      </c>
      <c r="M405" t="s">
        <v>31</v>
      </c>
      <c r="N405" t="s">
        <v>32</v>
      </c>
      <c r="O405">
        <v>35</v>
      </c>
      <c r="P405" t="s">
        <v>27</v>
      </c>
      <c r="Q405">
        <v>4</v>
      </c>
      <c r="R405">
        <v>199</v>
      </c>
    </row>
    <row r="406" spans="1:18" x14ac:dyDescent="0.3">
      <c r="A406" t="s">
        <v>465</v>
      </c>
      <c r="B406" s="1">
        <v>45911</v>
      </c>
      <c r="C406">
        <v>2025</v>
      </c>
      <c r="D406" t="s">
        <v>60</v>
      </c>
      <c r="E406" t="s">
        <v>43</v>
      </c>
      <c r="F406" t="s">
        <v>29</v>
      </c>
      <c r="G406">
        <v>20</v>
      </c>
      <c r="H406" t="s">
        <v>36</v>
      </c>
      <c r="I406" t="s">
        <v>48</v>
      </c>
      <c r="J406">
        <v>649</v>
      </c>
      <c r="K406" t="s">
        <v>24</v>
      </c>
      <c r="L406">
        <v>29</v>
      </c>
      <c r="M406" t="s">
        <v>41</v>
      </c>
      <c r="N406" t="s">
        <v>55</v>
      </c>
      <c r="O406">
        <v>33</v>
      </c>
      <c r="P406" t="s">
        <v>27</v>
      </c>
      <c r="Q406">
        <v>5</v>
      </c>
      <c r="R406">
        <v>649</v>
      </c>
    </row>
    <row r="407" spans="1:18" x14ac:dyDescent="0.3">
      <c r="A407" t="s">
        <v>466</v>
      </c>
      <c r="B407" s="1">
        <v>44660</v>
      </c>
      <c r="C407">
        <v>2022</v>
      </c>
      <c r="D407" t="s">
        <v>51</v>
      </c>
      <c r="E407" t="s">
        <v>20</v>
      </c>
      <c r="F407" t="s">
        <v>29</v>
      </c>
      <c r="G407">
        <v>19</v>
      </c>
      <c r="H407" t="s">
        <v>22</v>
      </c>
      <c r="I407" t="s">
        <v>48</v>
      </c>
      <c r="J407">
        <v>649</v>
      </c>
      <c r="K407" t="s">
        <v>24</v>
      </c>
      <c r="L407">
        <v>30</v>
      </c>
      <c r="M407" t="s">
        <v>41</v>
      </c>
      <c r="N407" t="s">
        <v>55</v>
      </c>
      <c r="O407">
        <v>41</v>
      </c>
      <c r="P407" t="s">
        <v>27</v>
      </c>
      <c r="Q407">
        <v>4</v>
      </c>
      <c r="R407">
        <v>649</v>
      </c>
    </row>
    <row r="408" spans="1:18" x14ac:dyDescent="0.3">
      <c r="A408" t="s">
        <v>467</v>
      </c>
      <c r="B408" s="1">
        <v>45720</v>
      </c>
      <c r="C408">
        <v>2025</v>
      </c>
      <c r="D408" t="s">
        <v>66</v>
      </c>
      <c r="E408" t="s">
        <v>52</v>
      </c>
      <c r="F408" t="s">
        <v>29</v>
      </c>
      <c r="G408">
        <v>49</v>
      </c>
      <c r="H408" t="s">
        <v>36</v>
      </c>
      <c r="I408" t="s">
        <v>37</v>
      </c>
      <c r="J408">
        <v>199</v>
      </c>
      <c r="K408" t="s">
        <v>44</v>
      </c>
      <c r="L408">
        <v>58</v>
      </c>
      <c r="M408" t="s">
        <v>45</v>
      </c>
      <c r="N408" t="s">
        <v>58</v>
      </c>
      <c r="O408">
        <v>14</v>
      </c>
      <c r="P408" t="s">
        <v>27</v>
      </c>
      <c r="Q408">
        <v>4</v>
      </c>
      <c r="R408">
        <v>199</v>
      </c>
    </row>
    <row r="409" spans="1:18" x14ac:dyDescent="0.3">
      <c r="A409" t="s">
        <v>468</v>
      </c>
      <c r="B409" s="1">
        <v>45023</v>
      </c>
      <c r="C409">
        <v>2023</v>
      </c>
      <c r="D409" t="s">
        <v>51</v>
      </c>
      <c r="E409" t="s">
        <v>43</v>
      </c>
      <c r="F409" t="s">
        <v>21</v>
      </c>
      <c r="G409">
        <v>41</v>
      </c>
      <c r="H409" t="s">
        <v>36</v>
      </c>
      <c r="I409" t="s">
        <v>37</v>
      </c>
      <c r="J409">
        <v>199</v>
      </c>
      <c r="K409" t="s">
        <v>44</v>
      </c>
      <c r="L409">
        <v>52</v>
      </c>
      <c r="M409" t="s">
        <v>31</v>
      </c>
      <c r="N409" t="s">
        <v>26</v>
      </c>
      <c r="O409">
        <v>36</v>
      </c>
      <c r="P409" t="s">
        <v>27</v>
      </c>
      <c r="Q409">
        <v>5</v>
      </c>
      <c r="R409">
        <v>199</v>
      </c>
    </row>
    <row r="410" spans="1:18" x14ac:dyDescent="0.3">
      <c r="A410" t="s">
        <v>469</v>
      </c>
      <c r="B410" s="1">
        <v>45286</v>
      </c>
      <c r="C410">
        <v>2023</v>
      </c>
      <c r="D410" t="s">
        <v>39</v>
      </c>
      <c r="E410" t="s">
        <v>35</v>
      </c>
      <c r="F410" t="s">
        <v>29</v>
      </c>
      <c r="G410">
        <v>39</v>
      </c>
      <c r="H410" t="s">
        <v>36</v>
      </c>
      <c r="I410" t="s">
        <v>37</v>
      </c>
      <c r="J410">
        <v>199</v>
      </c>
      <c r="K410" t="s">
        <v>44</v>
      </c>
      <c r="L410">
        <v>38</v>
      </c>
      <c r="M410" t="s">
        <v>41</v>
      </c>
      <c r="N410" t="s">
        <v>32</v>
      </c>
      <c r="O410">
        <v>6</v>
      </c>
      <c r="P410" t="s">
        <v>73</v>
      </c>
      <c r="Q410">
        <v>2</v>
      </c>
      <c r="R410">
        <v>0</v>
      </c>
    </row>
    <row r="411" spans="1:18" x14ac:dyDescent="0.3">
      <c r="A411" t="s">
        <v>470</v>
      </c>
      <c r="B411" s="1">
        <v>45091</v>
      </c>
      <c r="C411">
        <v>2023</v>
      </c>
      <c r="D411" t="s">
        <v>69</v>
      </c>
      <c r="E411" t="s">
        <v>43</v>
      </c>
      <c r="F411" t="s">
        <v>63</v>
      </c>
      <c r="G411">
        <v>49</v>
      </c>
      <c r="H411" t="s">
        <v>22</v>
      </c>
      <c r="I411" t="s">
        <v>23</v>
      </c>
      <c r="J411">
        <v>499</v>
      </c>
      <c r="K411" t="s">
        <v>30</v>
      </c>
      <c r="L411">
        <v>36</v>
      </c>
      <c r="M411" t="s">
        <v>25</v>
      </c>
      <c r="N411" t="s">
        <v>58</v>
      </c>
      <c r="O411">
        <v>9</v>
      </c>
      <c r="P411" t="s">
        <v>27</v>
      </c>
      <c r="Q411">
        <v>4</v>
      </c>
      <c r="R411">
        <v>499</v>
      </c>
    </row>
    <row r="412" spans="1:18" x14ac:dyDescent="0.3">
      <c r="A412" t="s">
        <v>471</v>
      </c>
      <c r="B412" s="1">
        <v>45879</v>
      </c>
      <c r="C412">
        <v>2025</v>
      </c>
      <c r="D412" t="s">
        <v>34</v>
      </c>
      <c r="E412" t="s">
        <v>35</v>
      </c>
      <c r="F412" t="s">
        <v>29</v>
      </c>
      <c r="G412">
        <v>19</v>
      </c>
      <c r="H412" t="s">
        <v>22</v>
      </c>
      <c r="I412" t="s">
        <v>37</v>
      </c>
      <c r="J412">
        <v>199</v>
      </c>
      <c r="K412" t="s">
        <v>75</v>
      </c>
      <c r="L412">
        <v>41</v>
      </c>
      <c r="M412" t="s">
        <v>41</v>
      </c>
      <c r="N412" t="s">
        <v>32</v>
      </c>
      <c r="O412">
        <v>12</v>
      </c>
      <c r="P412" t="s">
        <v>27</v>
      </c>
      <c r="Q412">
        <v>5</v>
      </c>
      <c r="R412">
        <v>199</v>
      </c>
    </row>
    <row r="413" spans="1:18" x14ac:dyDescent="0.3">
      <c r="A413" t="s">
        <v>472</v>
      </c>
      <c r="B413" s="1">
        <v>45730</v>
      </c>
      <c r="C413">
        <v>2025</v>
      </c>
      <c r="D413" t="s">
        <v>66</v>
      </c>
      <c r="E413" t="s">
        <v>20</v>
      </c>
      <c r="F413" t="s">
        <v>63</v>
      </c>
      <c r="G413">
        <v>52</v>
      </c>
      <c r="H413" t="s">
        <v>36</v>
      </c>
      <c r="I413" t="s">
        <v>37</v>
      </c>
      <c r="J413">
        <v>199</v>
      </c>
      <c r="K413" t="s">
        <v>67</v>
      </c>
      <c r="L413">
        <v>39</v>
      </c>
      <c r="M413" t="s">
        <v>41</v>
      </c>
      <c r="N413" t="s">
        <v>26</v>
      </c>
      <c r="O413">
        <v>21</v>
      </c>
      <c r="P413" t="s">
        <v>27</v>
      </c>
      <c r="Q413">
        <v>3</v>
      </c>
      <c r="R413">
        <v>199</v>
      </c>
    </row>
    <row r="414" spans="1:18" x14ac:dyDescent="0.3">
      <c r="A414" t="s">
        <v>473</v>
      </c>
      <c r="B414" s="1">
        <v>45985</v>
      </c>
      <c r="C414">
        <v>2025</v>
      </c>
      <c r="D414" t="s">
        <v>19</v>
      </c>
      <c r="E414" t="s">
        <v>52</v>
      </c>
      <c r="F414" t="s">
        <v>63</v>
      </c>
      <c r="G414">
        <v>25</v>
      </c>
      <c r="H414" t="s">
        <v>36</v>
      </c>
      <c r="I414" t="s">
        <v>37</v>
      </c>
      <c r="J414">
        <v>199</v>
      </c>
      <c r="K414" t="s">
        <v>75</v>
      </c>
      <c r="L414">
        <v>23</v>
      </c>
      <c r="M414" t="s">
        <v>41</v>
      </c>
      <c r="N414" t="s">
        <v>32</v>
      </c>
      <c r="O414">
        <v>43</v>
      </c>
      <c r="P414" t="s">
        <v>27</v>
      </c>
      <c r="Q414">
        <v>4</v>
      </c>
      <c r="R414">
        <v>199</v>
      </c>
    </row>
    <row r="415" spans="1:18" x14ac:dyDescent="0.3">
      <c r="A415" t="s">
        <v>474</v>
      </c>
      <c r="B415" s="1">
        <v>45794</v>
      </c>
      <c r="C415">
        <v>2025</v>
      </c>
      <c r="D415" t="s">
        <v>79</v>
      </c>
      <c r="E415" t="s">
        <v>43</v>
      </c>
      <c r="F415" t="s">
        <v>21</v>
      </c>
      <c r="G415">
        <v>33</v>
      </c>
      <c r="H415" t="s">
        <v>36</v>
      </c>
      <c r="I415" t="s">
        <v>37</v>
      </c>
      <c r="J415">
        <v>199</v>
      </c>
      <c r="K415" t="s">
        <v>57</v>
      </c>
      <c r="L415">
        <v>57</v>
      </c>
      <c r="M415" t="s">
        <v>45</v>
      </c>
      <c r="N415" t="s">
        <v>26</v>
      </c>
      <c r="O415">
        <v>24</v>
      </c>
      <c r="P415" t="s">
        <v>73</v>
      </c>
      <c r="Q415">
        <v>3</v>
      </c>
      <c r="R415">
        <v>0</v>
      </c>
    </row>
    <row r="416" spans="1:18" x14ac:dyDescent="0.3">
      <c r="A416" t="s">
        <v>475</v>
      </c>
      <c r="B416" s="1">
        <v>44814</v>
      </c>
      <c r="C416">
        <v>2022</v>
      </c>
      <c r="D416" t="s">
        <v>60</v>
      </c>
      <c r="E416" t="s">
        <v>20</v>
      </c>
      <c r="F416" t="s">
        <v>29</v>
      </c>
      <c r="G416">
        <v>48</v>
      </c>
      <c r="H416" t="s">
        <v>36</v>
      </c>
      <c r="I416" t="s">
        <v>23</v>
      </c>
      <c r="J416">
        <v>499</v>
      </c>
      <c r="K416" t="s">
        <v>24</v>
      </c>
      <c r="L416">
        <v>47</v>
      </c>
      <c r="M416" t="s">
        <v>41</v>
      </c>
      <c r="N416" t="s">
        <v>58</v>
      </c>
      <c r="O416">
        <v>12</v>
      </c>
      <c r="P416" t="s">
        <v>27</v>
      </c>
      <c r="Q416">
        <v>4</v>
      </c>
      <c r="R416">
        <v>499</v>
      </c>
    </row>
    <row r="417" spans="1:18" x14ac:dyDescent="0.3">
      <c r="A417" t="s">
        <v>476</v>
      </c>
      <c r="B417" s="1">
        <v>45930</v>
      </c>
      <c r="C417">
        <v>2025</v>
      </c>
      <c r="D417" t="s">
        <v>60</v>
      </c>
      <c r="E417" t="s">
        <v>35</v>
      </c>
      <c r="F417" t="s">
        <v>63</v>
      </c>
      <c r="G417">
        <v>49</v>
      </c>
      <c r="H417" t="s">
        <v>22</v>
      </c>
      <c r="I417" t="s">
        <v>23</v>
      </c>
      <c r="J417">
        <v>499</v>
      </c>
      <c r="K417" t="s">
        <v>49</v>
      </c>
      <c r="L417">
        <v>31</v>
      </c>
      <c r="M417" t="s">
        <v>25</v>
      </c>
      <c r="N417" t="s">
        <v>32</v>
      </c>
      <c r="O417">
        <v>32</v>
      </c>
      <c r="P417" t="s">
        <v>27</v>
      </c>
      <c r="Q417">
        <v>5</v>
      </c>
      <c r="R417">
        <v>499</v>
      </c>
    </row>
    <row r="418" spans="1:18" x14ac:dyDescent="0.3">
      <c r="A418" t="s">
        <v>477</v>
      </c>
      <c r="B418" s="1">
        <v>45782</v>
      </c>
      <c r="C418">
        <v>2025</v>
      </c>
      <c r="D418" t="s">
        <v>79</v>
      </c>
      <c r="E418" t="s">
        <v>43</v>
      </c>
      <c r="F418" t="s">
        <v>63</v>
      </c>
      <c r="G418">
        <v>26</v>
      </c>
      <c r="H418" t="s">
        <v>36</v>
      </c>
      <c r="I418" t="s">
        <v>37</v>
      </c>
      <c r="J418">
        <v>199</v>
      </c>
      <c r="K418" t="s">
        <v>44</v>
      </c>
      <c r="L418">
        <v>35</v>
      </c>
      <c r="M418" t="s">
        <v>25</v>
      </c>
      <c r="N418" t="s">
        <v>32</v>
      </c>
      <c r="O418">
        <v>34</v>
      </c>
      <c r="P418" t="s">
        <v>27</v>
      </c>
      <c r="Q418">
        <v>4</v>
      </c>
      <c r="R418">
        <v>199</v>
      </c>
    </row>
    <row r="419" spans="1:18" x14ac:dyDescent="0.3">
      <c r="A419" t="s">
        <v>478</v>
      </c>
      <c r="B419" s="1">
        <v>44564</v>
      </c>
      <c r="C419">
        <v>2022</v>
      </c>
      <c r="D419" t="s">
        <v>62</v>
      </c>
      <c r="E419" t="s">
        <v>20</v>
      </c>
      <c r="F419" t="s">
        <v>63</v>
      </c>
      <c r="G419">
        <v>22</v>
      </c>
      <c r="H419" t="s">
        <v>36</v>
      </c>
      <c r="I419" t="s">
        <v>23</v>
      </c>
      <c r="J419">
        <v>499</v>
      </c>
      <c r="K419" t="s">
        <v>53</v>
      </c>
      <c r="L419">
        <v>55</v>
      </c>
      <c r="M419" t="s">
        <v>25</v>
      </c>
      <c r="N419" t="s">
        <v>58</v>
      </c>
      <c r="O419">
        <v>35</v>
      </c>
      <c r="P419" t="s">
        <v>27</v>
      </c>
      <c r="Q419">
        <v>5</v>
      </c>
      <c r="R419">
        <v>499</v>
      </c>
    </row>
    <row r="420" spans="1:18" x14ac:dyDescent="0.3">
      <c r="A420" t="s">
        <v>479</v>
      </c>
      <c r="B420" s="1">
        <v>44989</v>
      </c>
      <c r="C420">
        <v>2023</v>
      </c>
      <c r="D420" t="s">
        <v>66</v>
      </c>
      <c r="E420" t="s">
        <v>43</v>
      </c>
      <c r="F420" t="s">
        <v>21</v>
      </c>
      <c r="G420">
        <v>52</v>
      </c>
      <c r="H420" t="s">
        <v>36</v>
      </c>
      <c r="I420" t="s">
        <v>23</v>
      </c>
      <c r="J420">
        <v>499</v>
      </c>
      <c r="K420" t="s">
        <v>75</v>
      </c>
      <c r="L420">
        <v>29</v>
      </c>
      <c r="M420" t="s">
        <v>31</v>
      </c>
      <c r="N420" t="s">
        <v>55</v>
      </c>
      <c r="O420">
        <v>40</v>
      </c>
      <c r="P420" t="s">
        <v>27</v>
      </c>
      <c r="Q420">
        <v>3</v>
      </c>
      <c r="R420">
        <v>499</v>
      </c>
    </row>
    <row r="421" spans="1:18" x14ac:dyDescent="0.3">
      <c r="A421" t="s">
        <v>480</v>
      </c>
      <c r="B421" s="1">
        <v>45647</v>
      </c>
      <c r="C421">
        <v>2024</v>
      </c>
      <c r="D421" t="s">
        <v>39</v>
      </c>
      <c r="E421" t="s">
        <v>43</v>
      </c>
      <c r="F421" t="s">
        <v>29</v>
      </c>
      <c r="G421">
        <v>37</v>
      </c>
      <c r="H421" t="s">
        <v>22</v>
      </c>
      <c r="I421" t="s">
        <v>37</v>
      </c>
      <c r="J421">
        <v>199</v>
      </c>
      <c r="K421" t="s">
        <v>57</v>
      </c>
      <c r="L421">
        <v>26</v>
      </c>
      <c r="M421" t="s">
        <v>41</v>
      </c>
      <c r="N421" t="s">
        <v>32</v>
      </c>
      <c r="O421">
        <v>9</v>
      </c>
      <c r="P421" t="s">
        <v>27</v>
      </c>
      <c r="Q421">
        <v>3</v>
      </c>
      <c r="R421">
        <v>199</v>
      </c>
    </row>
    <row r="422" spans="1:18" x14ac:dyDescent="0.3">
      <c r="A422" t="s">
        <v>481</v>
      </c>
      <c r="B422" s="1">
        <v>44696</v>
      </c>
      <c r="C422">
        <v>2022</v>
      </c>
      <c r="D422" t="s">
        <v>79</v>
      </c>
      <c r="E422" t="s">
        <v>20</v>
      </c>
      <c r="F422" t="s">
        <v>29</v>
      </c>
      <c r="G422">
        <v>46</v>
      </c>
      <c r="H422" t="s">
        <v>36</v>
      </c>
      <c r="I422" t="s">
        <v>48</v>
      </c>
      <c r="J422">
        <v>649</v>
      </c>
      <c r="K422" t="s">
        <v>24</v>
      </c>
      <c r="L422">
        <v>43</v>
      </c>
      <c r="M422" t="s">
        <v>25</v>
      </c>
      <c r="N422" t="s">
        <v>55</v>
      </c>
      <c r="O422">
        <v>46</v>
      </c>
      <c r="P422" t="s">
        <v>27</v>
      </c>
      <c r="Q422">
        <v>5</v>
      </c>
      <c r="R422">
        <v>649</v>
      </c>
    </row>
    <row r="423" spans="1:18" x14ac:dyDescent="0.3">
      <c r="A423" t="s">
        <v>482</v>
      </c>
      <c r="B423" s="1">
        <v>44592</v>
      </c>
      <c r="C423">
        <v>2022</v>
      </c>
      <c r="D423" t="s">
        <v>62</v>
      </c>
      <c r="E423" t="s">
        <v>52</v>
      </c>
      <c r="F423" t="s">
        <v>21</v>
      </c>
      <c r="G423">
        <v>20</v>
      </c>
      <c r="H423" t="s">
        <v>36</v>
      </c>
      <c r="I423" t="s">
        <v>37</v>
      </c>
      <c r="J423">
        <v>199</v>
      </c>
      <c r="K423" t="s">
        <v>75</v>
      </c>
      <c r="L423">
        <v>58</v>
      </c>
      <c r="M423" t="s">
        <v>41</v>
      </c>
      <c r="N423" t="s">
        <v>58</v>
      </c>
      <c r="O423">
        <v>17</v>
      </c>
      <c r="P423" t="s">
        <v>27</v>
      </c>
      <c r="Q423">
        <v>3</v>
      </c>
      <c r="R423">
        <v>199</v>
      </c>
    </row>
    <row r="424" spans="1:18" x14ac:dyDescent="0.3">
      <c r="A424" t="s">
        <v>483</v>
      </c>
      <c r="B424" s="1">
        <v>45599</v>
      </c>
      <c r="C424">
        <v>2024</v>
      </c>
      <c r="D424" t="s">
        <v>19</v>
      </c>
      <c r="E424" t="s">
        <v>43</v>
      </c>
      <c r="F424" t="s">
        <v>29</v>
      </c>
      <c r="G424">
        <v>48</v>
      </c>
      <c r="H424" t="s">
        <v>22</v>
      </c>
      <c r="I424" t="s">
        <v>23</v>
      </c>
      <c r="J424">
        <v>499</v>
      </c>
      <c r="K424" t="s">
        <v>67</v>
      </c>
      <c r="L424">
        <v>38</v>
      </c>
      <c r="M424" t="s">
        <v>45</v>
      </c>
      <c r="N424" t="s">
        <v>58</v>
      </c>
      <c r="O424">
        <v>37</v>
      </c>
      <c r="P424" t="s">
        <v>27</v>
      </c>
      <c r="Q424">
        <v>4</v>
      </c>
      <c r="R424">
        <v>499</v>
      </c>
    </row>
    <row r="425" spans="1:18" x14ac:dyDescent="0.3">
      <c r="A425" t="s">
        <v>484</v>
      </c>
      <c r="B425" s="1">
        <v>45760</v>
      </c>
      <c r="C425">
        <v>2025</v>
      </c>
      <c r="D425" t="s">
        <v>51</v>
      </c>
      <c r="E425" t="s">
        <v>20</v>
      </c>
      <c r="F425" t="s">
        <v>21</v>
      </c>
      <c r="G425">
        <v>18</v>
      </c>
      <c r="H425" t="s">
        <v>22</v>
      </c>
      <c r="I425" t="s">
        <v>37</v>
      </c>
      <c r="J425">
        <v>199</v>
      </c>
      <c r="K425" t="s">
        <v>53</v>
      </c>
      <c r="L425">
        <v>40</v>
      </c>
      <c r="M425" t="s">
        <v>41</v>
      </c>
      <c r="N425" t="s">
        <v>58</v>
      </c>
      <c r="O425">
        <v>2</v>
      </c>
      <c r="P425" t="s">
        <v>27</v>
      </c>
      <c r="Q425">
        <v>5</v>
      </c>
      <c r="R425">
        <v>199</v>
      </c>
    </row>
    <row r="426" spans="1:18" x14ac:dyDescent="0.3">
      <c r="A426" t="s">
        <v>485</v>
      </c>
      <c r="B426" s="1">
        <v>45335</v>
      </c>
      <c r="C426">
        <v>2024</v>
      </c>
      <c r="D426" t="s">
        <v>111</v>
      </c>
      <c r="E426" t="s">
        <v>20</v>
      </c>
      <c r="F426" t="s">
        <v>21</v>
      </c>
      <c r="G426">
        <v>48</v>
      </c>
      <c r="H426" t="s">
        <v>36</v>
      </c>
      <c r="I426" t="s">
        <v>23</v>
      </c>
      <c r="J426">
        <v>499</v>
      </c>
      <c r="K426" t="s">
        <v>30</v>
      </c>
      <c r="L426">
        <v>37</v>
      </c>
      <c r="M426" t="s">
        <v>41</v>
      </c>
      <c r="N426" t="s">
        <v>55</v>
      </c>
      <c r="O426">
        <v>18</v>
      </c>
      <c r="P426" t="s">
        <v>27</v>
      </c>
      <c r="Q426">
        <v>3</v>
      </c>
      <c r="R426">
        <v>499</v>
      </c>
    </row>
    <row r="427" spans="1:18" x14ac:dyDescent="0.3">
      <c r="A427" t="s">
        <v>486</v>
      </c>
      <c r="B427" s="1">
        <v>45417</v>
      </c>
      <c r="C427">
        <v>2024</v>
      </c>
      <c r="D427" t="s">
        <v>79</v>
      </c>
      <c r="E427" t="s">
        <v>20</v>
      </c>
      <c r="F427" t="s">
        <v>29</v>
      </c>
      <c r="G427">
        <v>49</v>
      </c>
      <c r="H427" t="s">
        <v>22</v>
      </c>
      <c r="I427" t="s">
        <v>23</v>
      </c>
      <c r="J427">
        <v>499</v>
      </c>
      <c r="K427" t="s">
        <v>49</v>
      </c>
      <c r="L427">
        <v>40</v>
      </c>
      <c r="M427" t="s">
        <v>41</v>
      </c>
      <c r="N427" t="s">
        <v>26</v>
      </c>
      <c r="O427">
        <v>9</v>
      </c>
      <c r="P427" t="s">
        <v>27</v>
      </c>
      <c r="Q427">
        <v>5</v>
      </c>
      <c r="R427">
        <v>499</v>
      </c>
    </row>
    <row r="428" spans="1:18" x14ac:dyDescent="0.3">
      <c r="A428" t="s">
        <v>487</v>
      </c>
      <c r="B428" s="1">
        <v>45327</v>
      </c>
      <c r="C428">
        <v>2024</v>
      </c>
      <c r="D428" t="s">
        <v>111</v>
      </c>
      <c r="E428" t="s">
        <v>20</v>
      </c>
      <c r="F428" t="s">
        <v>29</v>
      </c>
      <c r="G428">
        <v>50</v>
      </c>
      <c r="H428" t="s">
        <v>36</v>
      </c>
      <c r="I428" t="s">
        <v>23</v>
      </c>
      <c r="J428">
        <v>499</v>
      </c>
      <c r="K428" t="s">
        <v>40</v>
      </c>
      <c r="L428">
        <v>51</v>
      </c>
      <c r="M428" t="s">
        <v>25</v>
      </c>
      <c r="N428" t="s">
        <v>26</v>
      </c>
      <c r="O428">
        <v>31</v>
      </c>
      <c r="P428" t="s">
        <v>27</v>
      </c>
      <c r="Q428">
        <v>5</v>
      </c>
      <c r="R428">
        <v>499</v>
      </c>
    </row>
    <row r="429" spans="1:18" x14ac:dyDescent="0.3">
      <c r="A429" t="s">
        <v>488</v>
      </c>
      <c r="B429" s="1">
        <v>44696</v>
      </c>
      <c r="C429">
        <v>2022</v>
      </c>
      <c r="D429" t="s">
        <v>79</v>
      </c>
      <c r="E429" t="s">
        <v>20</v>
      </c>
      <c r="F429" t="s">
        <v>21</v>
      </c>
      <c r="G429">
        <v>45</v>
      </c>
      <c r="H429" t="s">
        <v>22</v>
      </c>
      <c r="I429" t="s">
        <v>37</v>
      </c>
      <c r="J429">
        <v>199</v>
      </c>
      <c r="K429" t="s">
        <v>57</v>
      </c>
      <c r="L429">
        <v>49</v>
      </c>
      <c r="M429" t="s">
        <v>25</v>
      </c>
      <c r="N429" t="s">
        <v>26</v>
      </c>
      <c r="O429">
        <v>31</v>
      </c>
      <c r="P429" t="s">
        <v>73</v>
      </c>
      <c r="Q429">
        <v>5</v>
      </c>
      <c r="R429">
        <v>0</v>
      </c>
    </row>
    <row r="430" spans="1:18" x14ac:dyDescent="0.3">
      <c r="A430" t="s">
        <v>489</v>
      </c>
      <c r="B430" s="1">
        <v>45820</v>
      </c>
      <c r="C430">
        <v>2025</v>
      </c>
      <c r="D430" t="s">
        <v>69</v>
      </c>
      <c r="E430" t="s">
        <v>52</v>
      </c>
      <c r="F430" t="s">
        <v>21</v>
      </c>
      <c r="G430">
        <v>21</v>
      </c>
      <c r="H430" t="s">
        <v>36</v>
      </c>
      <c r="I430" t="s">
        <v>23</v>
      </c>
      <c r="J430">
        <v>499</v>
      </c>
      <c r="K430" t="s">
        <v>53</v>
      </c>
      <c r="L430">
        <v>49</v>
      </c>
      <c r="M430" t="s">
        <v>31</v>
      </c>
      <c r="N430" t="s">
        <v>58</v>
      </c>
      <c r="O430">
        <v>2</v>
      </c>
      <c r="P430" t="s">
        <v>27</v>
      </c>
      <c r="Q430">
        <v>4</v>
      </c>
      <c r="R430">
        <v>499</v>
      </c>
    </row>
    <row r="431" spans="1:18" x14ac:dyDescent="0.3">
      <c r="A431" t="s">
        <v>490</v>
      </c>
      <c r="B431" s="1">
        <v>45211</v>
      </c>
      <c r="C431">
        <v>2023</v>
      </c>
      <c r="D431" t="s">
        <v>47</v>
      </c>
      <c r="E431" t="s">
        <v>35</v>
      </c>
      <c r="F431" t="s">
        <v>29</v>
      </c>
      <c r="G431">
        <v>53</v>
      </c>
      <c r="H431" t="s">
        <v>36</v>
      </c>
      <c r="I431" t="s">
        <v>37</v>
      </c>
      <c r="J431">
        <v>199</v>
      </c>
      <c r="K431" t="s">
        <v>75</v>
      </c>
      <c r="L431">
        <v>32</v>
      </c>
      <c r="M431" t="s">
        <v>31</v>
      </c>
      <c r="N431" t="s">
        <v>26</v>
      </c>
      <c r="O431">
        <v>25</v>
      </c>
      <c r="P431" t="s">
        <v>27</v>
      </c>
      <c r="Q431">
        <v>3</v>
      </c>
      <c r="R431">
        <v>199</v>
      </c>
    </row>
    <row r="432" spans="1:18" x14ac:dyDescent="0.3">
      <c r="A432" t="s">
        <v>491</v>
      </c>
      <c r="B432" s="1">
        <v>45498</v>
      </c>
      <c r="C432">
        <v>2024</v>
      </c>
      <c r="D432" t="s">
        <v>85</v>
      </c>
      <c r="E432" t="s">
        <v>35</v>
      </c>
      <c r="F432" t="s">
        <v>21</v>
      </c>
      <c r="G432">
        <v>27</v>
      </c>
      <c r="H432" t="s">
        <v>36</v>
      </c>
      <c r="I432" t="s">
        <v>48</v>
      </c>
      <c r="J432">
        <v>649</v>
      </c>
      <c r="K432" t="s">
        <v>44</v>
      </c>
      <c r="L432">
        <v>52</v>
      </c>
      <c r="M432" t="s">
        <v>41</v>
      </c>
      <c r="N432" t="s">
        <v>32</v>
      </c>
      <c r="O432">
        <v>7</v>
      </c>
      <c r="P432" t="s">
        <v>27</v>
      </c>
      <c r="Q432">
        <v>3</v>
      </c>
      <c r="R432">
        <v>649</v>
      </c>
    </row>
    <row r="433" spans="1:18" x14ac:dyDescent="0.3">
      <c r="A433" t="s">
        <v>492</v>
      </c>
      <c r="B433" s="1">
        <v>44670</v>
      </c>
      <c r="C433">
        <v>2022</v>
      </c>
      <c r="D433" t="s">
        <v>51</v>
      </c>
      <c r="E433" t="s">
        <v>35</v>
      </c>
      <c r="F433" t="s">
        <v>29</v>
      </c>
      <c r="G433">
        <v>19</v>
      </c>
      <c r="H433" t="s">
        <v>36</v>
      </c>
      <c r="I433" t="s">
        <v>37</v>
      </c>
      <c r="J433">
        <v>199</v>
      </c>
      <c r="K433" t="s">
        <v>40</v>
      </c>
      <c r="L433">
        <v>25</v>
      </c>
      <c r="M433" t="s">
        <v>31</v>
      </c>
      <c r="N433" t="s">
        <v>26</v>
      </c>
      <c r="O433">
        <v>37</v>
      </c>
      <c r="P433" t="s">
        <v>27</v>
      </c>
      <c r="Q433">
        <v>4</v>
      </c>
      <c r="R433">
        <v>199</v>
      </c>
    </row>
    <row r="434" spans="1:18" x14ac:dyDescent="0.3">
      <c r="A434" t="s">
        <v>493</v>
      </c>
      <c r="B434" s="1">
        <v>44562</v>
      </c>
      <c r="C434">
        <v>2022</v>
      </c>
      <c r="D434" t="s">
        <v>62</v>
      </c>
      <c r="E434" t="s">
        <v>35</v>
      </c>
      <c r="F434" t="s">
        <v>29</v>
      </c>
      <c r="G434">
        <v>27</v>
      </c>
      <c r="H434" t="s">
        <v>22</v>
      </c>
      <c r="I434" t="s">
        <v>23</v>
      </c>
      <c r="J434">
        <v>499</v>
      </c>
      <c r="K434" t="s">
        <v>30</v>
      </c>
      <c r="L434">
        <v>49</v>
      </c>
      <c r="M434" t="s">
        <v>41</v>
      </c>
      <c r="N434" t="s">
        <v>55</v>
      </c>
      <c r="O434">
        <v>13</v>
      </c>
      <c r="P434" t="s">
        <v>27</v>
      </c>
      <c r="Q434">
        <v>4</v>
      </c>
      <c r="R434">
        <v>499</v>
      </c>
    </row>
    <row r="435" spans="1:18" x14ac:dyDescent="0.3">
      <c r="A435" t="s">
        <v>494</v>
      </c>
      <c r="B435" s="1">
        <v>45471</v>
      </c>
      <c r="C435">
        <v>2024</v>
      </c>
      <c r="D435" t="s">
        <v>69</v>
      </c>
      <c r="E435" t="s">
        <v>35</v>
      </c>
      <c r="F435" t="s">
        <v>63</v>
      </c>
      <c r="G435">
        <v>40</v>
      </c>
      <c r="H435" t="s">
        <v>36</v>
      </c>
      <c r="I435" t="s">
        <v>37</v>
      </c>
      <c r="J435">
        <v>199</v>
      </c>
      <c r="K435" t="s">
        <v>30</v>
      </c>
      <c r="L435">
        <v>60</v>
      </c>
      <c r="M435" t="s">
        <v>25</v>
      </c>
      <c r="N435" t="s">
        <v>58</v>
      </c>
      <c r="O435">
        <v>22</v>
      </c>
      <c r="P435" t="s">
        <v>27</v>
      </c>
      <c r="Q435">
        <v>4</v>
      </c>
      <c r="R435">
        <v>199</v>
      </c>
    </row>
    <row r="436" spans="1:18" x14ac:dyDescent="0.3">
      <c r="A436" t="s">
        <v>495</v>
      </c>
      <c r="B436" s="1">
        <v>45908</v>
      </c>
      <c r="C436">
        <v>2025</v>
      </c>
      <c r="D436" t="s">
        <v>60</v>
      </c>
      <c r="E436" t="s">
        <v>20</v>
      </c>
      <c r="F436" t="s">
        <v>63</v>
      </c>
      <c r="G436">
        <v>30</v>
      </c>
      <c r="H436" t="s">
        <v>22</v>
      </c>
      <c r="I436" t="s">
        <v>23</v>
      </c>
      <c r="J436">
        <v>499</v>
      </c>
      <c r="K436" t="s">
        <v>57</v>
      </c>
      <c r="L436">
        <v>53</v>
      </c>
      <c r="M436" t="s">
        <v>41</v>
      </c>
      <c r="N436" t="s">
        <v>58</v>
      </c>
      <c r="O436">
        <v>32</v>
      </c>
      <c r="P436" t="s">
        <v>27</v>
      </c>
      <c r="Q436">
        <v>3</v>
      </c>
      <c r="R436">
        <v>499</v>
      </c>
    </row>
    <row r="437" spans="1:18" x14ac:dyDescent="0.3">
      <c r="A437" t="s">
        <v>496</v>
      </c>
      <c r="B437" s="1">
        <v>45209</v>
      </c>
      <c r="C437">
        <v>2023</v>
      </c>
      <c r="D437" t="s">
        <v>47</v>
      </c>
      <c r="E437" t="s">
        <v>20</v>
      </c>
      <c r="F437" t="s">
        <v>29</v>
      </c>
      <c r="G437">
        <v>35</v>
      </c>
      <c r="H437" t="s">
        <v>22</v>
      </c>
      <c r="I437" t="s">
        <v>37</v>
      </c>
      <c r="J437">
        <v>199</v>
      </c>
      <c r="K437" t="s">
        <v>57</v>
      </c>
      <c r="L437">
        <v>59</v>
      </c>
      <c r="M437" t="s">
        <v>31</v>
      </c>
      <c r="N437" t="s">
        <v>32</v>
      </c>
      <c r="O437">
        <v>30</v>
      </c>
      <c r="P437" t="s">
        <v>27</v>
      </c>
      <c r="Q437">
        <v>5</v>
      </c>
      <c r="R437">
        <v>199</v>
      </c>
    </row>
    <row r="438" spans="1:18" x14ac:dyDescent="0.3">
      <c r="A438" t="s">
        <v>497</v>
      </c>
      <c r="B438" s="1">
        <v>45871</v>
      </c>
      <c r="C438">
        <v>2025</v>
      </c>
      <c r="D438" t="s">
        <v>34</v>
      </c>
      <c r="E438" t="s">
        <v>43</v>
      </c>
      <c r="F438" t="s">
        <v>29</v>
      </c>
      <c r="G438">
        <v>36</v>
      </c>
      <c r="H438" t="s">
        <v>22</v>
      </c>
      <c r="I438" t="s">
        <v>37</v>
      </c>
      <c r="J438">
        <v>199</v>
      </c>
      <c r="K438" t="s">
        <v>67</v>
      </c>
      <c r="L438">
        <v>25</v>
      </c>
      <c r="M438" t="s">
        <v>31</v>
      </c>
      <c r="N438" t="s">
        <v>26</v>
      </c>
      <c r="O438">
        <v>21</v>
      </c>
      <c r="P438" t="s">
        <v>27</v>
      </c>
      <c r="Q438">
        <v>3</v>
      </c>
      <c r="R438">
        <v>199</v>
      </c>
    </row>
    <row r="439" spans="1:18" x14ac:dyDescent="0.3">
      <c r="A439" t="s">
        <v>498</v>
      </c>
      <c r="B439" s="1">
        <v>45343</v>
      </c>
      <c r="C439">
        <v>2024</v>
      </c>
      <c r="D439" t="s">
        <v>111</v>
      </c>
      <c r="E439" t="s">
        <v>43</v>
      </c>
      <c r="F439" t="s">
        <v>21</v>
      </c>
      <c r="G439">
        <v>36</v>
      </c>
      <c r="H439" t="s">
        <v>22</v>
      </c>
      <c r="I439" t="s">
        <v>37</v>
      </c>
      <c r="J439">
        <v>199</v>
      </c>
      <c r="K439" t="s">
        <v>49</v>
      </c>
      <c r="L439">
        <v>59</v>
      </c>
      <c r="M439" t="s">
        <v>45</v>
      </c>
      <c r="N439" t="s">
        <v>55</v>
      </c>
      <c r="O439">
        <v>19</v>
      </c>
      <c r="P439" t="s">
        <v>73</v>
      </c>
      <c r="Q439">
        <v>4</v>
      </c>
      <c r="R439">
        <v>0</v>
      </c>
    </row>
    <row r="440" spans="1:18" x14ac:dyDescent="0.3">
      <c r="A440" t="s">
        <v>499</v>
      </c>
      <c r="B440" s="1">
        <v>45485</v>
      </c>
      <c r="C440">
        <v>2024</v>
      </c>
      <c r="D440" t="s">
        <v>85</v>
      </c>
      <c r="E440" t="s">
        <v>43</v>
      </c>
      <c r="F440" t="s">
        <v>29</v>
      </c>
      <c r="G440">
        <v>36</v>
      </c>
      <c r="H440" t="s">
        <v>22</v>
      </c>
      <c r="I440" t="s">
        <v>48</v>
      </c>
      <c r="J440">
        <v>649</v>
      </c>
      <c r="K440" t="s">
        <v>44</v>
      </c>
      <c r="L440">
        <v>27</v>
      </c>
      <c r="M440" t="s">
        <v>45</v>
      </c>
      <c r="N440" t="s">
        <v>58</v>
      </c>
      <c r="O440">
        <v>10</v>
      </c>
      <c r="P440" t="s">
        <v>27</v>
      </c>
      <c r="Q440">
        <v>4</v>
      </c>
      <c r="R440">
        <v>649</v>
      </c>
    </row>
    <row r="441" spans="1:18" x14ac:dyDescent="0.3">
      <c r="A441" t="s">
        <v>500</v>
      </c>
      <c r="B441" s="1">
        <v>45058</v>
      </c>
      <c r="C441">
        <v>2023</v>
      </c>
      <c r="D441" t="s">
        <v>79</v>
      </c>
      <c r="E441" t="s">
        <v>52</v>
      </c>
      <c r="F441" t="s">
        <v>63</v>
      </c>
      <c r="G441">
        <v>32</v>
      </c>
      <c r="H441" t="s">
        <v>22</v>
      </c>
      <c r="I441" t="s">
        <v>48</v>
      </c>
      <c r="J441">
        <v>649</v>
      </c>
      <c r="K441" t="s">
        <v>30</v>
      </c>
      <c r="L441">
        <v>58</v>
      </c>
      <c r="M441" t="s">
        <v>41</v>
      </c>
      <c r="N441" t="s">
        <v>55</v>
      </c>
      <c r="O441">
        <v>46</v>
      </c>
      <c r="P441" t="s">
        <v>27</v>
      </c>
      <c r="Q441">
        <v>3</v>
      </c>
      <c r="R441">
        <v>649</v>
      </c>
    </row>
    <row r="442" spans="1:18" x14ac:dyDescent="0.3">
      <c r="A442" t="s">
        <v>501</v>
      </c>
      <c r="B442" s="1">
        <v>44907</v>
      </c>
      <c r="C442">
        <v>2022</v>
      </c>
      <c r="D442" t="s">
        <v>39</v>
      </c>
      <c r="E442" t="s">
        <v>43</v>
      </c>
      <c r="F442" t="s">
        <v>29</v>
      </c>
      <c r="G442">
        <v>36</v>
      </c>
      <c r="H442" t="s">
        <v>36</v>
      </c>
      <c r="I442" t="s">
        <v>23</v>
      </c>
      <c r="J442">
        <v>499</v>
      </c>
      <c r="K442" t="s">
        <v>53</v>
      </c>
      <c r="L442">
        <v>60</v>
      </c>
      <c r="M442" t="s">
        <v>41</v>
      </c>
      <c r="N442" t="s">
        <v>55</v>
      </c>
      <c r="O442">
        <v>5</v>
      </c>
      <c r="P442" t="s">
        <v>27</v>
      </c>
      <c r="Q442">
        <v>4</v>
      </c>
      <c r="R442">
        <v>499</v>
      </c>
    </row>
    <row r="443" spans="1:18" x14ac:dyDescent="0.3">
      <c r="A443" t="s">
        <v>502</v>
      </c>
      <c r="B443" s="1">
        <v>44931</v>
      </c>
      <c r="C443">
        <v>2023</v>
      </c>
      <c r="D443" t="s">
        <v>62</v>
      </c>
      <c r="E443" t="s">
        <v>43</v>
      </c>
      <c r="F443" t="s">
        <v>63</v>
      </c>
      <c r="G443">
        <v>25</v>
      </c>
      <c r="H443" t="s">
        <v>36</v>
      </c>
      <c r="I443" t="s">
        <v>23</v>
      </c>
      <c r="J443">
        <v>499</v>
      </c>
      <c r="K443" t="s">
        <v>67</v>
      </c>
      <c r="L443">
        <v>50</v>
      </c>
      <c r="M443" t="s">
        <v>45</v>
      </c>
      <c r="N443" t="s">
        <v>32</v>
      </c>
      <c r="O443">
        <v>24</v>
      </c>
      <c r="P443" t="s">
        <v>27</v>
      </c>
      <c r="Q443">
        <v>4</v>
      </c>
      <c r="R443">
        <v>499</v>
      </c>
    </row>
    <row r="444" spans="1:18" x14ac:dyDescent="0.3">
      <c r="A444" t="s">
        <v>503</v>
      </c>
      <c r="B444" s="1">
        <v>45229</v>
      </c>
      <c r="C444">
        <v>2023</v>
      </c>
      <c r="D444" t="s">
        <v>47</v>
      </c>
      <c r="E444" t="s">
        <v>43</v>
      </c>
      <c r="F444" t="s">
        <v>63</v>
      </c>
      <c r="G444">
        <v>52</v>
      </c>
      <c r="H444" t="s">
        <v>36</v>
      </c>
      <c r="I444" t="s">
        <v>37</v>
      </c>
      <c r="J444">
        <v>199</v>
      </c>
      <c r="K444" t="s">
        <v>75</v>
      </c>
      <c r="L444">
        <v>46</v>
      </c>
      <c r="M444" t="s">
        <v>41</v>
      </c>
      <c r="N444" t="s">
        <v>58</v>
      </c>
      <c r="O444">
        <v>29</v>
      </c>
      <c r="P444" t="s">
        <v>27</v>
      </c>
      <c r="Q444">
        <v>3</v>
      </c>
      <c r="R444">
        <v>199</v>
      </c>
    </row>
    <row r="445" spans="1:18" x14ac:dyDescent="0.3">
      <c r="A445" t="s">
        <v>504</v>
      </c>
      <c r="B445" s="1">
        <v>45139</v>
      </c>
      <c r="C445">
        <v>2023</v>
      </c>
      <c r="D445" t="s">
        <v>34</v>
      </c>
      <c r="E445" t="s">
        <v>52</v>
      </c>
      <c r="F445" t="s">
        <v>29</v>
      </c>
      <c r="G445">
        <v>38</v>
      </c>
      <c r="H445" t="s">
        <v>36</v>
      </c>
      <c r="I445" t="s">
        <v>23</v>
      </c>
      <c r="J445">
        <v>499</v>
      </c>
      <c r="K445" t="s">
        <v>49</v>
      </c>
      <c r="L445">
        <v>43</v>
      </c>
      <c r="M445" t="s">
        <v>31</v>
      </c>
      <c r="N445" t="s">
        <v>26</v>
      </c>
      <c r="O445">
        <v>6</v>
      </c>
      <c r="P445" t="s">
        <v>27</v>
      </c>
      <c r="Q445">
        <v>4</v>
      </c>
      <c r="R445">
        <v>499</v>
      </c>
    </row>
    <row r="446" spans="1:18" x14ac:dyDescent="0.3">
      <c r="A446" t="s">
        <v>505</v>
      </c>
      <c r="B446" s="1">
        <v>45709</v>
      </c>
      <c r="C446">
        <v>2025</v>
      </c>
      <c r="D446" t="s">
        <v>111</v>
      </c>
      <c r="E446" t="s">
        <v>35</v>
      </c>
      <c r="F446" t="s">
        <v>29</v>
      </c>
      <c r="G446">
        <v>22</v>
      </c>
      <c r="H446" t="s">
        <v>36</v>
      </c>
      <c r="I446" t="s">
        <v>48</v>
      </c>
      <c r="J446">
        <v>649</v>
      </c>
      <c r="K446" t="s">
        <v>30</v>
      </c>
      <c r="L446">
        <v>37</v>
      </c>
      <c r="M446" t="s">
        <v>25</v>
      </c>
      <c r="N446" t="s">
        <v>26</v>
      </c>
      <c r="O446">
        <v>21</v>
      </c>
      <c r="P446" t="s">
        <v>27</v>
      </c>
      <c r="Q446">
        <v>4</v>
      </c>
      <c r="R446">
        <v>649</v>
      </c>
    </row>
    <row r="447" spans="1:18" x14ac:dyDescent="0.3">
      <c r="A447" t="s">
        <v>506</v>
      </c>
      <c r="B447" s="1">
        <v>44990</v>
      </c>
      <c r="C447">
        <v>2023</v>
      </c>
      <c r="D447" t="s">
        <v>66</v>
      </c>
      <c r="E447" t="s">
        <v>43</v>
      </c>
      <c r="F447" t="s">
        <v>29</v>
      </c>
      <c r="G447">
        <v>45</v>
      </c>
      <c r="H447" t="s">
        <v>22</v>
      </c>
      <c r="I447" t="s">
        <v>23</v>
      </c>
      <c r="J447">
        <v>499</v>
      </c>
      <c r="K447" t="s">
        <v>40</v>
      </c>
      <c r="L447">
        <v>33</v>
      </c>
      <c r="M447" t="s">
        <v>45</v>
      </c>
      <c r="N447" t="s">
        <v>55</v>
      </c>
      <c r="O447">
        <v>1</v>
      </c>
      <c r="P447" t="s">
        <v>27</v>
      </c>
      <c r="Q447">
        <v>5</v>
      </c>
      <c r="R447">
        <v>499</v>
      </c>
    </row>
    <row r="448" spans="1:18" x14ac:dyDescent="0.3">
      <c r="A448" t="s">
        <v>507</v>
      </c>
      <c r="B448" s="1">
        <v>44816</v>
      </c>
      <c r="C448">
        <v>2022</v>
      </c>
      <c r="D448" t="s">
        <v>60</v>
      </c>
      <c r="E448" t="s">
        <v>35</v>
      </c>
      <c r="F448" t="s">
        <v>29</v>
      </c>
      <c r="G448">
        <v>27</v>
      </c>
      <c r="H448" t="s">
        <v>36</v>
      </c>
      <c r="I448" t="s">
        <v>37</v>
      </c>
      <c r="J448">
        <v>199</v>
      </c>
      <c r="K448" t="s">
        <v>67</v>
      </c>
      <c r="L448">
        <v>54</v>
      </c>
      <c r="M448" t="s">
        <v>31</v>
      </c>
      <c r="N448" t="s">
        <v>55</v>
      </c>
      <c r="O448">
        <v>30</v>
      </c>
      <c r="P448" t="s">
        <v>27</v>
      </c>
      <c r="Q448">
        <v>5</v>
      </c>
      <c r="R448">
        <v>199</v>
      </c>
    </row>
    <row r="449" spans="1:18" x14ac:dyDescent="0.3">
      <c r="A449" t="s">
        <v>508</v>
      </c>
      <c r="B449" s="1">
        <v>44975</v>
      </c>
      <c r="C449">
        <v>2023</v>
      </c>
      <c r="D449" t="s">
        <v>111</v>
      </c>
      <c r="E449" t="s">
        <v>20</v>
      </c>
      <c r="F449" t="s">
        <v>21</v>
      </c>
      <c r="G449">
        <v>53</v>
      </c>
      <c r="H449" t="s">
        <v>36</v>
      </c>
      <c r="I449" t="s">
        <v>23</v>
      </c>
      <c r="J449">
        <v>499</v>
      </c>
      <c r="K449" t="s">
        <v>67</v>
      </c>
      <c r="L449">
        <v>31</v>
      </c>
      <c r="M449" t="s">
        <v>45</v>
      </c>
      <c r="N449" t="s">
        <v>58</v>
      </c>
      <c r="O449">
        <v>31</v>
      </c>
      <c r="P449" t="s">
        <v>27</v>
      </c>
      <c r="Q449">
        <v>4</v>
      </c>
      <c r="R449">
        <v>499</v>
      </c>
    </row>
    <row r="450" spans="1:18" x14ac:dyDescent="0.3">
      <c r="A450" t="s">
        <v>509</v>
      </c>
      <c r="B450" s="1">
        <v>45139</v>
      </c>
      <c r="C450">
        <v>2023</v>
      </c>
      <c r="D450" t="s">
        <v>34</v>
      </c>
      <c r="E450" t="s">
        <v>35</v>
      </c>
      <c r="F450" t="s">
        <v>63</v>
      </c>
      <c r="G450">
        <v>35</v>
      </c>
      <c r="H450" t="s">
        <v>22</v>
      </c>
      <c r="I450" t="s">
        <v>48</v>
      </c>
      <c r="J450">
        <v>649</v>
      </c>
      <c r="K450" t="s">
        <v>57</v>
      </c>
      <c r="L450">
        <v>60</v>
      </c>
      <c r="M450" t="s">
        <v>45</v>
      </c>
      <c r="N450" t="s">
        <v>26</v>
      </c>
      <c r="O450">
        <v>36</v>
      </c>
      <c r="P450" t="s">
        <v>27</v>
      </c>
      <c r="Q450">
        <v>4</v>
      </c>
      <c r="R450">
        <v>649</v>
      </c>
    </row>
    <row r="451" spans="1:18" x14ac:dyDescent="0.3">
      <c r="A451" t="s">
        <v>510</v>
      </c>
      <c r="B451" s="1">
        <v>44883</v>
      </c>
      <c r="C451">
        <v>2022</v>
      </c>
      <c r="D451" t="s">
        <v>19</v>
      </c>
      <c r="E451" t="s">
        <v>52</v>
      </c>
      <c r="F451" t="s">
        <v>21</v>
      </c>
      <c r="G451">
        <v>23</v>
      </c>
      <c r="H451" t="s">
        <v>36</v>
      </c>
      <c r="I451" t="s">
        <v>37</v>
      </c>
      <c r="J451">
        <v>199</v>
      </c>
      <c r="K451" t="s">
        <v>53</v>
      </c>
      <c r="L451">
        <v>34</v>
      </c>
      <c r="M451" t="s">
        <v>31</v>
      </c>
      <c r="N451" t="s">
        <v>32</v>
      </c>
      <c r="O451">
        <v>2</v>
      </c>
      <c r="P451" t="s">
        <v>27</v>
      </c>
      <c r="Q451">
        <v>4</v>
      </c>
      <c r="R451">
        <v>199</v>
      </c>
    </row>
    <row r="452" spans="1:18" x14ac:dyDescent="0.3">
      <c r="A452" t="s">
        <v>511</v>
      </c>
      <c r="B452" s="1">
        <v>45090</v>
      </c>
      <c r="C452">
        <v>2023</v>
      </c>
      <c r="D452" t="s">
        <v>69</v>
      </c>
      <c r="E452" t="s">
        <v>35</v>
      </c>
      <c r="F452" t="s">
        <v>29</v>
      </c>
      <c r="G452">
        <v>55</v>
      </c>
      <c r="H452" t="s">
        <v>36</v>
      </c>
      <c r="I452" t="s">
        <v>48</v>
      </c>
      <c r="J452">
        <v>649</v>
      </c>
      <c r="K452" t="s">
        <v>44</v>
      </c>
      <c r="L452">
        <v>41</v>
      </c>
      <c r="M452" t="s">
        <v>41</v>
      </c>
      <c r="N452" t="s">
        <v>58</v>
      </c>
      <c r="O452">
        <v>43</v>
      </c>
      <c r="P452" t="s">
        <v>27</v>
      </c>
      <c r="Q452">
        <v>3</v>
      </c>
      <c r="R452">
        <v>649</v>
      </c>
    </row>
    <row r="453" spans="1:18" x14ac:dyDescent="0.3">
      <c r="A453" t="s">
        <v>512</v>
      </c>
      <c r="B453" s="1">
        <v>45210</v>
      </c>
      <c r="C453">
        <v>2023</v>
      </c>
      <c r="D453" t="s">
        <v>47</v>
      </c>
      <c r="E453" t="s">
        <v>20</v>
      </c>
      <c r="F453" t="s">
        <v>29</v>
      </c>
      <c r="G453">
        <v>31</v>
      </c>
      <c r="H453" t="s">
        <v>36</v>
      </c>
      <c r="I453" t="s">
        <v>23</v>
      </c>
      <c r="J453">
        <v>499</v>
      </c>
      <c r="K453" t="s">
        <v>57</v>
      </c>
      <c r="L453">
        <v>58</v>
      </c>
      <c r="M453" t="s">
        <v>45</v>
      </c>
      <c r="N453" t="s">
        <v>26</v>
      </c>
      <c r="O453">
        <v>17</v>
      </c>
      <c r="P453" t="s">
        <v>27</v>
      </c>
      <c r="Q453">
        <v>5</v>
      </c>
      <c r="R453">
        <v>499</v>
      </c>
    </row>
    <row r="454" spans="1:18" x14ac:dyDescent="0.3">
      <c r="A454" t="s">
        <v>513</v>
      </c>
      <c r="B454" s="1">
        <v>45564</v>
      </c>
      <c r="C454">
        <v>2024</v>
      </c>
      <c r="D454" t="s">
        <v>60</v>
      </c>
      <c r="E454" t="s">
        <v>20</v>
      </c>
      <c r="F454" t="s">
        <v>63</v>
      </c>
      <c r="G454">
        <v>37</v>
      </c>
      <c r="H454" t="s">
        <v>36</v>
      </c>
      <c r="I454" t="s">
        <v>37</v>
      </c>
      <c r="J454">
        <v>199</v>
      </c>
      <c r="K454" t="s">
        <v>30</v>
      </c>
      <c r="L454">
        <v>57</v>
      </c>
      <c r="M454" t="s">
        <v>45</v>
      </c>
      <c r="N454" t="s">
        <v>55</v>
      </c>
      <c r="O454">
        <v>12</v>
      </c>
      <c r="P454" t="s">
        <v>27</v>
      </c>
      <c r="Q454">
        <v>4</v>
      </c>
      <c r="R454">
        <v>199</v>
      </c>
    </row>
    <row r="455" spans="1:18" x14ac:dyDescent="0.3">
      <c r="A455" t="s">
        <v>514</v>
      </c>
      <c r="B455" s="1">
        <v>45793</v>
      </c>
      <c r="C455">
        <v>2025</v>
      </c>
      <c r="D455" t="s">
        <v>79</v>
      </c>
      <c r="E455" t="s">
        <v>52</v>
      </c>
      <c r="F455" t="s">
        <v>21</v>
      </c>
      <c r="G455">
        <v>19</v>
      </c>
      <c r="H455" t="s">
        <v>36</v>
      </c>
      <c r="I455" t="s">
        <v>48</v>
      </c>
      <c r="J455">
        <v>649</v>
      </c>
      <c r="K455" t="s">
        <v>67</v>
      </c>
      <c r="L455">
        <v>25</v>
      </c>
      <c r="M455" t="s">
        <v>25</v>
      </c>
      <c r="N455" t="s">
        <v>26</v>
      </c>
      <c r="O455">
        <v>4</v>
      </c>
      <c r="P455" t="s">
        <v>27</v>
      </c>
      <c r="Q455">
        <v>3</v>
      </c>
      <c r="R455">
        <v>649</v>
      </c>
    </row>
    <row r="456" spans="1:18" x14ac:dyDescent="0.3">
      <c r="A456" t="s">
        <v>515</v>
      </c>
      <c r="B456" s="1">
        <v>45249</v>
      </c>
      <c r="C456">
        <v>2023</v>
      </c>
      <c r="D456" t="s">
        <v>19</v>
      </c>
      <c r="E456" t="s">
        <v>52</v>
      </c>
      <c r="F456" t="s">
        <v>29</v>
      </c>
      <c r="G456">
        <v>27</v>
      </c>
      <c r="H456" t="s">
        <v>22</v>
      </c>
      <c r="I456" t="s">
        <v>48</v>
      </c>
      <c r="J456">
        <v>649</v>
      </c>
      <c r="K456" t="s">
        <v>75</v>
      </c>
      <c r="L456">
        <v>30</v>
      </c>
      <c r="M456" t="s">
        <v>31</v>
      </c>
      <c r="N456" t="s">
        <v>32</v>
      </c>
      <c r="O456">
        <v>24</v>
      </c>
      <c r="P456" t="s">
        <v>27</v>
      </c>
      <c r="Q456">
        <v>5</v>
      </c>
      <c r="R456">
        <v>649</v>
      </c>
    </row>
    <row r="457" spans="1:18" x14ac:dyDescent="0.3">
      <c r="A457" t="s">
        <v>516</v>
      </c>
      <c r="B457" s="1">
        <v>45754</v>
      </c>
      <c r="C457">
        <v>2025</v>
      </c>
      <c r="D457" t="s">
        <v>51</v>
      </c>
      <c r="E457" t="s">
        <v>20</v>
      </c>
      <c r="F457" t="s">
        <v>29</v>
      </c>
      <c r="G457">
        <v>23</v>
      </c>
      <c r="H457" t="s">
        <v>36</v>
      </c>
      <c r="I457" t="s">
        <v>48</v>
      </c>
      <c r="J457">
        <v>649</v>
      </c>
      <c r="K457" t="s">
        <v>24</v>
      </c>
      <c r="L457">
        <v>42</v>
      </c>
      <c r="M457" t="s">
        <v>45</v>
      </c>
      <c r="N457" t="s">
        <v>58</v>
      </c>
      <c r="O457">
        <v>32</v>
      </c>
      <c r="P457" t="s">
        <v>27</v>
      </c>
      <c r="Q457">
        <v>3</v>
      </c>
      <c r="R457">
        <v>649</v>
      </c>
    </row>
    <row r="458" spans="1:18" x14ac:dyDescent="0.3">
      <c r="A458" t="s">
        <v>517</v>
      </c>
      <c r="B458" s="1">
        <v>45161</v>
      </c>
      <c r="C458">
        <v>2023</v>
      </c>
      <c r="D458" t="s">
        <v>34</v>
      </c>
      <c r="E458" t="s">
        <v>52</v>
      </c>
      <c r="F458" t="s">
        <v>63</v>
      </c>
      <c r="G458">
        <v>32</v>
      </c>
      <c r="H458" t="s">
        <v>36</v>
      </c>
      <c r="I458" t="s">
        <v>48</v>
      </c>
      <c r="J458">
        <v>649</v>
      </c>
      <c r="K458" t="s">
        <v>24</v>
      </c>
      <c r="L458">
        <v>31</v>
      </c>
      <c r="M458" t="s">
        <v>25</v>
      </c>
      <c r="N458" t="s">
        <v>26</v>
      </c>
      <c r="O458">
        <v>23</v>
      </c>
      <c r="P458" t="s">
        <v>27</v>
      </c>
      <c r="Q458">
        <v>3</v>
      </c>
      <c r="R458">
        <v>649</v>
      </c>
    </row>
    <row r="459" spans="1:18" x14ac:dyDescent="0.3">
      <c r="A459" t="s">
        <v>518</v>
      </c>
      <c r="B459" s="1">
        <v>45653</v>
      </c>
      <c r="C459">
        <v>2024</v>
      </c>
      <c r="D459" t="s">
        <v>39</v>
      </c>
      <c r="E459" t="s">
        <v>20</v>
      </c>
      <c r="F459" t="s">
        <v>21</v>
      </c>
      <c r="G459">
        <v>53</v>
      </c>
      <c r="H459" t="s">
        <v>36</v>
      </c>
      <c r="I459" t="s">
        <v>23</v>
      </c>
      <c r="J459">
        <v>499</v>
      </c>
      <c r="K459" t="s">
        <v>75</v>
      </c>
      <c r="L459">
        <v>60</v>
      </c>
      <c r="M459" t="s">
        <v>25</v>
      </c>
      <c r="N459" t="s">
        <v>32</v>
      </c>
      <c r="O459">
        <v>33</v>
      </c>
      <c r="P459" t="s">
        <v>27</v>
      </c>
      <c r="Q459">
        <v>4</v>
      </c>
      <c r="R459">
        <v>499</v>
      </c>
    </row>
    <row r="460" spans="1:18" x14ac:dyDescent="0.3">
      <c r="A460" t="s">
        <v>519</v>
      </c>
      <c r="B460" s="1">
        <v>45902</v>
      </c>
      <c r="C460">
        <v>2025</v>
      </c>
      <c r="D460" t="s">
        <v>60</v>
      </c>
      <c r="E460" t="s">
        <v>20</v>
      </c>
      <c r="F460" t="s">
        <v>21</v>
      </c>
      <c r="G460">
        <v>22</v>
      </c>
      <c r="H460" t="s">
        <v>36</v>
      </c>
      <c r="I460" t="s">
        <v>37</v>
      </c>
      <c r="J460">
        <v>199</v>
      </c>
      <c r="K460" t="s">
        <v>67</v>
      </c>
      <c r="L460">
        <v>24</v>
      </c>
      <c r="M460" t="s">
        <v>31</v>
      </c>
      <c r="N460" t="s">
        <v>32</v>
      </c>
      <c r="O460">
        <v>42</v>
      </c>
      <c r="P460" t="s">
        <v>73</v>
      </c>
      <c r="Q460">
        <v>4</v>
      </c>
      <c r="R460">
        <v>0</v>
      </c>
    </row>
    <row r="461" spans="1:18" x14ac:dyDescent="0.3">
      <c r="A461" t="s">
        <v>520</v>
      </c>
      <c r="B461" s="1">
        <v>45410</v>
      </c>
      <c r="C461">
        <v>2024</v>
      </c>
      <c r="D461" t="s">
        <v>51</v>
      </c>
      <c r="E461" t="s">
        <v>43</v>
      </c>
      <c r="F461" t="s">
        <v>21</v>
      </c>
      <c r="G461">
        <v>55</v>
      </c>
      <c r="H461" t="s">
        <v>22</v>
      </c>
      <c r="I461" t="s">
        <v>37</v>
      </c>
      <c r="J461">
        <v>199</v>
      </c>
      <c r="K461" t="s">
        <v>40</v>
      </c>
      <c r="L461">
        <v>27</v>
      </c>
      <c r="M461" t="s">
        <v>25</v>
      </c>
      <c r="N461" t="s">
        <v>58</v>
      </c>
      <c r="O461">
        <v>48</v>
      </c>
      <c r="P461" t="s">
        <v>27</v>
      </c>
      <c r="Q461">
        <v>4</v>
      </c>
      <c r="R461">
        <v>199</v>
      </c>
    </row>
    <row r="462" spans="1:18" x14ac:dyDescent="0.3">
      <c r="A462" t="s">
        <v>521</v>
      </c>
      <c r="B462" s="1">
        <v>44771</v>
      </c>
      <c r="C462">
        <v>2022</v>
      </c>
      <c r="D462" t="s">
        <v>85</v>
      </c>
      <c r="E462" t="s">
        <v>35</v>
      </c>
      <c r="F462" t="s">
        <v>29</v>
      </c>
      <c r="G462">
        <v>37</v>
      </c>
      <c r="H462" t="s">
        <v>22</v>
      </c>
      <c r="I462" t="s">
        <v>23</v>
      </c>
      <c r="J462">
        <v>499</v>
      </c>
      <c r="K462" t="s">
        <v>49</v>
      </c>
      <c r="L462">
        <v>42</v>
      </c>
      <c r="M462" t="s">
        <v>25</v>
      </c>
      <c r="N462" t="s">
        <v>58</v>
      </c>
      <c r="O462">
        <v>27</v>
      </c>
      <c r="P462" t="s">
        <v>27</v>
      </c>
      <c r="Q462">
        <v>4</v>
      </c>
      <c r="R462">
        <v>499</v>
      </c>
    </row>
    <row r="463" spans="1:18" x14ac:dyDescent="0.3">
      <c r="A463" t="s">
        <v>522</v>
      </c>
      <c r="B463" s="1">
        <v>45047</v>
      </c>
      <c r="C463">
        <v>2023</v>
      </c>
      <c r="D463" t="s">
        <v>79</v>
      </c>
      <c r="E463" t="s">
        <v>20</v>
      </c>
      <c r="F463" t="s">
        <v>63</v>
      </c>
      <c r="G463">
        <v>52</v>
      </c>
      <c r="H463" t="s">
        <v>22</v>
      </c>
      <c r="I463" t="s">
        <v>37</v>
      </c>
      <c r="J463">
        <v>199</v>
      </c>
      <c r="K463" t="s">
        <v>44</v>
      </c>
      <c r="L463">
        <v>52</v>
      </c>
      <c r="M463" t="s">
        <v>41</v>
      </c>
      <c r="N463" t="s">
        <v>58</v>
      </c>
      <c r="O463">
        <v>10</v>
      </c>
      <c r="P463" t="s">
        <v>27</v>
      </c>
      <c r="Q463">
        <v>5</v>
      </c>
      <c r="R463">
        <v>199</v>
      </c>
    </row>
    <row r="464" spans="1:18" x14ac:dyDescent="0.3">
      <c r="A464" t="s">
        <v>523</v>
      </c>
      <c r="B464" s="1">
        <v>45973</v>
      </c>
      <c r="C464">
        <v>2025</v>
      </c>
      <c r="D464" t="s">
        <v>19</v>
      </c>
      <c r="E464" t="s">
        <v>20</v>
      </c>
      <c r="F464" t="s">
        <v>21</v>
      </c>
      <c r="G464">
        <v>39</v>
      </c>
      <c r="H464" t="s">
        <v>36</v>
      </c>
      <c r="I464" t="s">
        <v>37</v>
      </c>
      <c r="J464">
        <v>199</v>
      </c>
      <c r="K464" t="s">
        <v>57</v>
      </c>
      <c r="L464">
        <v>60</v>
      </c>
      <c r="M464" t="s">
        <v>45</v>
      </c>
      <c r="N464" t="s">
        <v>58</v>
      </c>
      <c r="O464">
        <v>41</v>
      </c>
      <c r="P464" t="s">
        <v>27</v>
      </c>
      <c r="Q464">
        <v>3</v>
      </c>
      <c r="R464">
        <v>199</v>
      </c>
    </row>
    <row r="465" spans="1:18" x14ac:dyDescent="0.3">
      <c r="A465" t="s">
        <v>524</v>
      </c>
      <c r="B465" s="1">
        <v>45423</v>
      </c>
      <c r="C465">
        <v>2024</v>
      </c>
      <c r="D465" t="s">
        <v>79</v>
      </c>
      <c r="E465" t="s">
        <v>20</v>
      </c>
      <c r="F465" t="s">
        <v>21</v>
      </c>
      <c r="G465">
        <v>26</v>
      </c>
      <c r="H465" t="s">
        <v>22</v>
      </c>
      <c r="I465" t="s">
        <v>48</v>
      </c>
      <c r="J465">
        <v>649</v>
      </c>
      <c r="K465" t="s">
        <v>53</v>
      </c>
      <c r="L465">
        <v>47</v>
      </c>
      <c r="M465" t="s">
        <v>45</v>
      </c>
      <c r="N465" t="s">
        <v>26</v>
      </c>
      <c r="O465">
        <v>44</v>
      </c>
      <c r="P465" t="s">
        <v>27</v>
      </c>
      <c r="Q465">
        <v>5</v>
      </c>
      <c r="R465">
        <v>649</v>
      </c>
    </row>
    <row r="466" spans="1:18" x14ac:dyDescent="0.3">
      <c r="A466" t="s">
        <v>525</v>
      </c>
      <c r="B466" s="1">
        <v>44578</v>
      </c>
      <c r="C466">
        <v>2022</v>
      </c>
      <c r="D466" t="s">
        <v>62</v>
      </c>
      <c r="E466" t="s">
        <v>35</v>
      </c>
      <c r="F466" t="s">
        <v>21</v>
      </c>
      <c r="G466">
        <v>34</v>
      </c>
      <c r="H466" t="s">
        <v>22</v>
      </c>
      <c r="I466" t="s">
        <v>37</v>
      </c>
      <c r="J466">
        <v>199</v>
      </c>
      <c r="K466" t="s">
        <v>30</v>
      </c>
      <c r="L466">
        <v>38</v>
      </c>
      <c r="M466" t="s">
        <v>41</v>
      </c>
      <c r="N466" t="s">
        <v>58</v>
      </c>
      <c r="O466">
        <v>46</v>
      </c>
      <c r="P466" t="s">
        <v>27</v>
      </c>
      <c r="Q466">
        <v>5</v>
      </c>
      <c r="R466">
        <v>199</v>
      </c>
    </row>
    <row r="467" spans="1:18" x14ac:dyDescent="0.3">
      <c r="A467" t="s">
        <v>526</v>
      </c>
      <c r="B467" s="1">
        <v>45445</v>
      </c>
      <c r="C467">
        <v>2024</v>
      </c>
      <c r="D467" t="s">
        <v>69</v>
      </c>
      <c r="E467" t="s">
        <v>52</v>
      </c>
      <c r="F467" t="s">
        <v>29</v>
      </c>
      <c r="G467">
        <v>36</v>
      </c>
      <c r="H467" t="s">
        <v>22</v>
      </c>
      <c r="I467" t="s">
        <v>37</v>
      </c>
      <c r="J467">
        <v>199</v>
      </c>
      <c r="K467" t="s">
        <v>67</v>
      </c>
      <c r="L467">
        <v>25</v>
      </c>
      <c r="M467" t="s">
        <v>25</v>
      </c>
      <c r="N467" t="s">
        <v>26</v>
      </c>
      <c r="O467">
        <v>9</v>
      </c>
      <c r="P467" t="s">
        <v>73</v>
      </c>
      <c r="Q467">
        <v>5</v>
      </c>
      <c r="R467">
        <v>0</v>
      </c>
    </row>
    <row r="468" spans="1:18" x14ac:dyDescent="0.3">
      <c r="A468" t="s">
        <v>527</v>
      </c>
      <c r="B468" s="1">
        <v>45629</v>
      </c>
      <c r="C468">
        <v>2024</v>
      </c>
      <c r="D468" t="s">
        <v>39</v>
      </c>
      <c r="E468" t="s">
        <v>20</v>
      </c>
      <c r="F468" t="s">
        <v>21</v>
      </c>
      <c r="G468">
        <v>30</v>
      </c>
      <c r="H468" t="s">
        <v>22</v>
      </c>
      <c r="I468" t="s">
        <v>23</v>
      </c>
      <c r="J468">
        <v>499</v>
      </c>
      <c r="K468" t="s">
        <v>24</v>
      </c>
      <c r="L468">
        <v>34</v>
      </c>
      <c r="M468" t="s">
        <v>25</v>
      </c>
      <c r="N468" t="s">
        <v>58</v>
      </c>
      <c r="O468">
        <v>38</v>
      </c>
      <c r="P468" t="s">
        <v>27</v>
      </c>
      <c r="Q468">
        <v>3</v>
      </c>
      <c r="R468">
        <v>499</v>
      </c>
    </row>
    <row r="469" spans="1:18" x14ac:dyDescent="0.3">
      <c r="A469" t="s">
        <v>528</v>
      </c>
      <c r="B469" s="1">
        <v>45615</v>
      </c>
      <c r="C469">
        <v>2024</v>
      </c>
      <c r="D469" t="s">
        <v>19</v>
      </c>
      <c r="E469" t="s">
        <v>35</v>
      </c>
      <c r="F469" t="s">
        <v>29</v>
      </c>
      <c r="G469">
        <v>25</v>
      </c>
      <c r="H469" t="s">
        <v>22</v>
      </c>
      <c r="I469" t="s">
        <v>23</v>
      </c>
      <c r="J469">
        <v>499</v>
      </c>
      <c r="K469" t="s">
        <v>30</v>
      </c>
      <c r="L469">
        <v>45</v>
      </c>
      <c r="M469" t="s">
        <v>41</v>
      </c>
      <c r="N469" t="s">
        <v>26</v>
      </c>
      <c r="O469">
        <v>35</v>
      </c>
      <c r="P469" t="s">
        <v>73</v>
      </c>
      <c r="Q469">
        <v>2</v>
      </c>
      <c r="R469">
        <v>0</v>
      </c>
    </row>
    <row r="470" spans="1:18" x14ac:dyDescent="0.3">
      <c r="A470" t="s">
        <v>529</v>
      </c>
      <c r="B470" s="1">
        <v>45984</v>
      </c>
      <c r="C470">
        <v>2025</v>
      </c>
      <c r="D470" t="s">
        <v>19</v>
      </c>
      <c r="E470" t="s">
        <v>43</v>
      </c>
      <c r="F470" t="s">
        <v>63</v>
      </c>
      <c r="G470">
        <v>22</v>
      </c>
      <c r="H470" t="s">
        <v>36</v>
      </c>
      <c r="I470" t="s">
        <v>48</v>
      </c>
      <c r="J470">
        <v>649</v>
      </c>
      <c r="K470" t="s">
        <v>30</v>
      </c>
      <c r="L470">
        <v>25</v>
      </c>
      <c r="M470" t="s">
        <v>41</v>
      </c>
      <c r="N470" t="s">
        <v>26</v>
      </c>
      <c r="O470">
        <v>8</v>
      </c>
      <c r="P470" t="s">
        <v>27</v>
      </c>
      <c r="Q470">
        <v>5</v>
      </c>
      <c r="R470">
        <v>649</v>
      </c>
    </row>
    <row r="471" spans="1:18" x14ac:dyDescent="0.3">
      <c r="A471" t="s">
        <v>530</v>
      </c>
      <c r="B471" s="1">
        <v>45444</v>
      </c>
      <c r="C471">
        <v>2024</v>
      </c>
      <c r="D471" t="s">
        <v>69</v>
      </c>
      <c r="E471" t="s">
        <v>20</v>
      </c>
      <c r="F471" t="s">
        <v>63</v>
      </c>
      <c r="G471">
        <v>18</v>
      </c>
      <c r="H471" t="s">
        <v>36</v>
      </c>
      <c r="I471" t="s">
        <v>37</v>
      </c>
      <c r="J471">
        <v>199</v>
      </c>
      <c r="K471" t="s">
        <v>24</v>
      </c>
      <c r="L471">
        <v>48</v>
      </c>
      <c r="M471" t="s">
        <v>45</v>
      </c>
      <c r="N471" t="s">
        <v>32</v>
      </c>
      <c r="O471">
        <v>10</v>
      </c>
      <c r="P471" t="s">
        <v>27</v>
      </c>
      <c r="Q471">
        <v>4</v>
      </c>
      <c r="R471">
        <v>199</v>
      </c>
    </row>
    <row r="472" spans="1:18" x14ac:dyDescent="0.3">
      <c r="A472" t="s">
        <v>531</v>
      </c>
      <c r="B472" s="1">
        <v>45041</v>
      </c>
      <c r="C472">
        <v>2023</v>
      </c>
      <c r="D472" t="s">
        <v>51</v>
      </c>
      <c r="E472" t="s">
        <v>35</v>
      </c>
      <c r="F472" t="s">
        <v>63</v>
      </c>
      <c r="G472">
        <v>29</v>
      </c>
      <c r="H472" t="s">
        <v>36</v>
      </c>
      <c r="I472" t="s">
        <v>48</v>
      </c>
      <c r="J472">
        <v>649</v>
      </c>
      <c r="K472" t="s">
        <v>30</v>
      </c>
      <c r="L472">
        <v>24</v>
      </c>
      <c r="M472" t="s">
        <v>25</v>
      </c>
      <c r="N472" t="s">
        <v>26</v>
      </c>
      <c r="O472">
        <v>30</v>
      </c>
      <c r="P472" t="s">
        <v>27</v>
      </c>
      <c r="Q472">
        <v>4</v>
      </c>
      <c r="R472">
        <v>649</v>
      </c>
    </row>
    <row r="473" spans="1:18" x14ac:dyDescent="0.3">
      <c r="A473" t="s">
        <v>532</v>
      </c>
      <c r="B473" s="1">
        <v>45188</v>
      </c>
      <c r="C473">
        <v>2023</v>
      </c>
      <c r="D473" t="s">
        <v>60</v>
      </c>
      <c r="E473" t="s">
        <v>35</v>
      </c>
      <c r="F473" t="s">
        <v>63</v>
      </c>
      <c r="G473">
        <v>18</v>
      </c>
      <c r="H473" t="s">
        <v>22</v>
      </c>
      <c r="I473" t="s">
        <v>48</v>
      </c>
      <c r="J473">
        <v>649</v>
      </c>
      <c r="K473" t="s">
        <v>30</v>
      </c>
      <c r="L473">
        <v>52</v>
      </c>
      <c r="M473" t="s">
        <v>31</v>
      </c>
      <c r="N473" t="s">
        <v>55</v>
      </c>
      <c r="O473">
        <v>32</v>
      </c>
      <c r="P473" t="s">
        <v>27</v>
      </c>
      <c r="Q473">
        <v>3</v>
      </c>
      <c r="R473">
        <v>649</v>
      </c>
    </row>
    <row r="474" spans="1:18" x14ac:dyDescent="0.3">
      <c r="A474" t="s">
        <v>533</v>
      </c>
      <c r="B474" s="1">
        <v>45130</v>
      </c>
      <c r="C474">
        <v>2023</v>
      </c>
      <c r="D474" t="s">
        <v>85</v>
      </c>
      <c r="E474" t="s">
        <v>20</v>
      </c>
      <c r="F474" t="s">
        <v>63</v>
      </c>
      <c r="G474">
        <v>42</v>
      </c>
      <c r="H474" t="s">
        <v>36</v>
      </c>
      <c r="I474" t="s">
        <v>48</v>
      </c>
      <c r="J474">
        <v>649</v>
      </c>
      <c r="K474" t="s">
        <v>67</v>
      </c>
      <c r="L474">
        <v>53</v>
      </c>
      <c r="M474" t="s">
        <v>25</v>
      </c>
      <c r="N474" t="s">
        <v>32</v>
      </c>
      <c r="O474">
        <v>36</v>
      </c>
      <c r="P474" t="s">
        <v>27</v>
      </c>
      <c r="Q474">
        <v>5</v>
      </c>
      <c r="R474">
        <v>649</v>
      </c>
    </row>
    <row r="475" spans="1:18" x14ac:dyDescent="0.3">
      <c r="A475" t="s">
        <v>534</v>
      </c>
      <c r="B475" s="1">
        <v>44620</v>
      </c>
      <c r="C475">
        <v>2022</v>
      </c>
      <c r="D475" t="s">
        <v>111</v>
      </c>
      <c r="E475" t="s">
        <v>52</v>
      </c>
      <c r="F475" t="s">
        <v>63</v>
      </c>
      <c r="G475">
        <v>22</v>
      </c>
      <c r="H475" t="s">
        <v>36</v>
      </c>
      <c r="I475" t="s">
        <v>48</v>
      </c>
      <c r="J475">
        <v>649</v>
      </c>
      <c r="K475" t="s">
        <v>53</v>
      </c>
      <c r="L475">
        <v>48</v>
      </c>
      <c r="M475" t="s">
        <v>45</v>
      </c>
      <c r="N475" t="s">
        <v>32</v>
      </c>
      <c r="O475">
        <v>13</v>
      </c>
      <c r="P475" t="s">
        <v>27</v>
      </c>
      <c r="Q475">
        <v>5</v>
      </c>
      <c r="R475">
        <v>649</v>
      </c>
    </row>
    <row r="476" spans="1:18" x14ac:dyDescent="0.3">
      <c r="A476" t="s">
        <v>535</v>
      </c>
      <c r="B476" s="1">
        <v>44851</v>
      </c>
      <c r="C476">
        <v>2022</v>
      </c>
      <c r="D476" t="s">
        <v>47</v>
      </c>
      <c r="E476" t="s">
        <v>35</v>
      </c>
      <c r="F476" t="s">
        <v>29</v>
      </c>
      <c r="G476">
        <v>30</v>
      </c>
      <c r="H476" t="s">
        <v>36</v>
      </c>
      <c r="I476" t="s">
        <v>48</v>
      </c>
      <c r="J476">
        <v>649</v>
      </c>
      <c r="K476" t="s">
        <v>40</v>
      </c>
      <c r="L476">
        <v>36</v>
      </c>
      <c r="M476" t="s">
        <v>41</v>
      </c>
      <c r="N476" t="s">
        <v>32</v>
      </c>
      <c r="O476">
        <v>39</v>
      </c>
      <c r="P476" t="s">
        <v>27</v>
      </c>
      <c r="Q476">
        <v>4</v>
      </c>
      <c r="R476">
        <v>649</v>
      </c>
    </row>
    <row r="477" spans="1:18" x14ac:dyDescent="0.3">
      <c r="A477" t="s">
        <v>536</v>
      </c>
      <c r="B477" s="1">
        <v>45294</v>
      </c>
      <c r="C477">
        <v>2024</v>
      </c>
      <c r="D477" t="s">
        <v>62</v>
      </c>
      <c r="E477" t="s">
        <v>35</v>
      </c>
      <c r="F477" t="s">
        <v>63</v>
      </c>
      <c r="G477">
        <v>24</v>
      </c>
      <c r="H477" t="s">
        <v>36</v>
      </c>
      <c r="I477" t="s">
        <v>48</v>
      </c>
      <c r="J477">
        <v>649</v>
      </c>
      <c r="K477" t="s">
        <v>57</v>
      </c>
      <c r="L477">
        <v>21</v>
      </c>
      <c r="M477" t="s">
        <v>31</v>
      </c>
      <c r="N477" t="s">
        <v>58</v>
      </c>
      <c r="O477">
        <v>27</v>
      </c>
      <c r="P477" t="s">
        <v>27</v>
      </c>
      <c r="Q477">
        <v>3</v>
      </c>
      <c r="R477">
        <v>649</v>
      </c>
    </row>
    <row r="478" spans="1:18" x14ac:dyDescent="0.3">
      <c r="A478" t="s">
        <v>537</v>
      </c>
      <c r="B478" s="1">
        <v>45985</v>
      </c>
      <c r="C478">
        <v>2025</v>
      </c>
      <c r="D478" t="s">
        <v>19</v>
      </c>
      <c r="E478" t="s">
        <v>35</v>
      </c>
      <c r="F478" t="s">
        <v>63</v>
      </c>
      <c r="G478">
        <v>29</v>
      </c>
      <c r="H478" t="s">
        <v>22</v>
      </c>
      <c r="I478" t="s">
        <v>23</v>
      </c>
      <c r="J478">
        <v>499</v>
      </c>
      <c r="K478" t="s">
        <v>40</v>
      </c>
      <c r="L478">
        <v>35</v>
      </c>
      <c r="M478" t="s">
        <v>41</v>
      </c>
      <c r="N478" t="s">
        <v>58</v>
      </c>
      <c r="O478">
        <v>32</v>
      </c>
      <c r="P478" t="s">
        <v>27</v>
      </c>
      <c r="Q478">
        <v>5</v>
      </c>
      <c r="R478">
        <v>499</v>
      </c>
    </row>
    <row r="479" spans="1:18" x14ac:dyDescent="0.3">
      <c r="A479" t="s">
        <v>538</v>
      </c>
      <c r="B479" s="1">
        <v>45188</v>
      </c>
      <c r="C479">
        <v>2023</v>
      </c>
      <c r="D479" t="s">
        <v>60</v>
      </c>
      <c r="E479" t="s">
        <v>43</v>
      </c>
      <c r="F479" t="s">
        <v>29</v>
      </c>
      <c r="G479">
        <v>45</v>
      </c>
      <c r="H479" t="s">
        <v>22</v>
      </c>
      <c r="I479" t="s">
        <v>23</v>
      </c>
      <c r="J479">
        <v>499</v>
      </c>
      <c r="K479" t="s">
        <v>44</v>
      </c>
      <c r="L479">
        <v>57</v>
      </c>
      <c r="M479" t="s">
        <v>25</v>
      </c>
      <c r="N479" t="s">
        <v>58</v>
      </c>
      <c r="O479">
        <v>12</v>
      </c>
      <c r="P479" t="s">
        <v>73</v>
      </c>
      <c r="Q479">
        <v>2</v>
      </c>
      <c r="R479">
        <v>0</v>
      </c>
    </row>
    <row r="480" spans="1:18" x14ac:dyDescent="0.3">
      <c r="A480" t="s">
        <v>539</v>
      </c>
      <c r="B480" s="1">
        <v>45297</v>
      </c>
      <c r="C480">
        <v>2024</v>
      </c>
      <c r="D480" t="s">
        <v>62</v>
      </c>
      <c r="E480" t="s">
        <v>35</v>
      </c>
      <c r="F480" t="s">
        <v>21</v>
      </c>
      <c r="G480">
        <v>46</v>
      </c>
      <c r="H480" t="s">
        <v>22</v>
      </c>
      <c r="I480" t="s">
        <v>37</v>
      </c>
      <c r="J480">
        <v>199</v>
      </c>
      <c r="K480" t="s">
        <v>24</v>
      </c>
      <c r="L480">
        <v>55</v>
      </c>
      <c r="M480" t="s">
        <v>45</v>
      </c>
      <c r="N480" t="s">
        <v>58</v>
      </c>
      <c r="O480">
        <v>2</v>
      </c>
      <c r="P480" t="s">
        <v>27</v>
      </c>
      <c r="Q480">
        <v>3</v>
      </c>
      <c r="R480">
        <v>199</v>
      </c>
    </row>
    <row r="481" spans="1:18" x14ac:dyDescent="0.3">
      <c r="A481" t="s">
        <v>540</v>
      </c>
      <c r="B481" s="1">
        <v>45090</v>
      </c>
      <c r="C481">
        <v>2023</v>
      </c>
      <c r="D481" t="s">
        <v>69</v>
      </c>
      <c r="E481" t="s">
        <v>52</v>
      </c>
      <c r="F481" t="s">
        <v>29</v>
      </c>
      <c r="G481">
        <v>20</v>
      </c>
      <c r="H481" t="s">
        <v>36</v>
      </c>
      <c r="I481" t="s">
        <v>23</v>
      </c>
      <c r="J481">
        <v>499</v>
      </c>
      <c r="K481" t="s">
        <v>75</v>
      </c>
      <c r="L481">
        <v>43</v>
      </c>
      <c r="M481" t="s">
        <v>41</v>
      </c>
      <c r="N481" t="s">
        <v>32</v>
      </c>
      <c r="O481">
        <v>44</v>
      </c>
      <c r="P481" t="s">
        <v>73</v>
      </c>
      <c r="Q481">
        <v>4</v>
      </c>
      <c r="R481">
        <v>0</v>
      </c>
    </row>
    <row r="482" spans="1:18" x14ac:dyDescent="0.3">
      <c r="A482" t="s">
        <v>541</v>
      </c>
      <c r="B482" s="1">
        <v>45061</v>
      </c>
      <c r="C482">
        <v>2023</v>
      </c>
      <c r="D482" t="s">
        <v>79</v>
      </c>
      <c r="E482" t="s">
        <v>35</v>
      </c>
      <c r="F482" t="s">
        <v>29</v>
      </c>
      <c r="G482">
        <v>45</v>
      </c>
      <c r="H482" t="s">
        <v>36</v>
      </c>
      <c r="I482" t="s">
        <v>23</v>
      </c>
      <c r="J482">
        <v>499</v>
      </c>
      <c r="K482" t="s">
        <v>75</v>
      </c>
      <c r="L482">
        <v>44</v>
      </c>
      <c r="M482" t="s">
        <v>31</v>
      </c>
      <c r="N482" t="s">
        <v>26</v>
      </c>
      <c r="O482">
        <v>38</v>
      </c>
      <c r="P482" t="s">
        <v>27</v>
      </c>
      <c r="Q482">
        <v>5</v>
      </c>
      <c r="R482">
        <v>499</v>
      </c>
    </row>
    <row r="483" spans="1:18" x14ac:dyDescent="0.3">
      <c r="A483" t="s">
        <v>542</v>
      </c>
      <c r="B483" s="1">
        <v>45519</v>
      </c>
      <c r="C483">
        <v>2024</v>
      </c>
      <c r="D483" t="s">
        <v>34</v>
      </c>
      <c r="E483" t="s">
        <v>43</v>
      </c>
      <c r="F483" t="s">
        <v>21</v>
      </c>
      <c r="G483">
        <v>32</v>
      </c>
      <c r="H483" t="s">
        <v>22</v>
      </c>
      <c r="I483" t="s">
        <v>37</v>
      </c>
      <c r="J483">
        <v>199</v>
      </c>
      <c r="K483" t="s">
        <v>44</v>
      </c>
      <c r="L483">
        <v>24</v>
      </c>
      <c r="M483" t="s">
        <v>45</v>
      </c>
      <c r="N483" t="s">
        <v>26</v>
      </c>
      <c r="O483">
        <v>17</v>
      </c>
      <c r="P483" t="s">
        <v>27</v>
      </c>
      <c r="Q483">
        <v>4</v>
      </c>
      <c r="R483">
        <v>199</v>
      </c>
    </row>
    <row r="484" spans="1:18" x14ac:dyDescent="0.3">
      <c r="A484" t="s">
        <v>543</v>
      </c>
      <c r="B484" s="1">
        <v>46021</v>
      </c>
      <c r="C484">
        <v>2025</v>
      </c>
      <c r="D484" t="s">
        <v>39</v>
      </c>
      <c r="E484" t="s">
        <v>35</v>
      </c>
      <c r="F484" t="s">
        <v>21</v>
      </c>
      <c r="G484">
        <v>30</v>
      </c>
      <c r="H484" t="s">
        <v>22</v>
      </c>
      <c r="I484" t="s">
        <v>48</v>
      </c>
      <c r="J484">
        <v>649</v>
      </c>
      <c r="K484" t="s">
        <v>57</v>
      </c>
      <c r="L484">
        <v>47</v>
      </c>
      <c r="M484" t="s">
        <v>41</v>
      </c>
      <c r="N484" t="s">
        <v>26</v>
      </c>
      <c r="O484">
        <v>38</v>
      </c>
      <c r="P484" t="s">
        <v>27</v>
      </c>
      <c r="Q484">
        <v>3</v>
      </c>
      <c r="R484">
        <v>649</v>
      </c>
    </row>
    <row r="485" spans="1:18" x14ac:dyDescent="0.3">
      <c r="A485" t="s">
        <v>544</v>
      </c>
      <c r="B485" s="1">
        <v>45602</v>
      </c>
      <c r="C485">
        <v>2024</v>
      </c>
      <c r="D485" t="s">
        <v>19</v>
      </c>
      <c r="E485" t="s">
        <v>20</v>
      </c>
      <c r="F485" t="s">
        <v>29</v>
      </c>
      <c r="G485">
        <v>40</v>
      </c>
      <c r="H485" t="s">
        <v>36</v>
      </c>
      <c r="I485" t="s">
        <v>23</v>
      </c>
      <c r="J485">
        <v>499</v>
      </c>
      <c r="K485" t="s">
        <v>24</v>
      </c>
      <c r="L485">
        <v>30</v>
      </c>
      <c r="M485" t="s">
        <v>25</v>
      </c>
      <c r="N485" t="s">
        <v>55</v>
      </c>
      <c r="O485">
        <v>28</v>
      </c>
      <c r="P485" t="s">
        <v>27</v>
      </c>
      <c r="Q485">
        <v>5</v>
      </c>
      <c r="R485">
        <v>499</v>
      </c>
    </row>
    <row r="486" spans="1:18" x14ac:dyDescent="0.3">
      <c r="A486" t="s">
        <v>545</v>
      </c>
      <c r="B486" s="1">
        <v>45025</v>
      </c>
      <c r="C486">
        <v>2023</v>
      </c>
      <c r="D486" t="s">
        <v>51</v>
      </c>
      <c r="E486" t="s">
        <v>20</v>
      </c>
      <c r="F486" t="s">
        <v>63</v>
      </c>
      <c r="G486">
        <v>38</v>
      </c>
      <c r="H486" t="s">
        <v>22</v>
      </c>
      <c r="I486" t="s">
        <v>23</v>
      </c>
      <c r="J486">
        <v>499</v>
      </c>
      <c r="K486" t="s">
        <v>44</v>
      </c>
      <c r="L486">
        <v>60</v>
      </c>
      <c r="M486" t="s">
        <v>41</v>
      </c>
      <c r="N486" t="s">
        <v>32</v>
      </c>
      <c r="O486">
        <v>48</v>
      </c>
      <c r="P486" t="s">
        <v>27</v>
      </c>
      <c r="Q486">
        <v>5</v>
      </c>
      <c r="R486">
        <v>499</v>
      </c>
    </row>
    <row r="487" spans="1:18" x14ac:dyDescent="0.3">
      <c r="A487" t="s">
        <v>546</v>
      </c>
      <c r="B487" s="1">
        <v>44727</v>
      </c>
      <c r="C487">
        <v>2022</v>
      </c>
      <c r="D487" t="s">
        <v>69</v>
      </c>
      <c r="E487" t="s">
        <v>43</v>
      </c>
      <c r="F487" t="s">
        <v>63</v>
      </c>
      <c r="G487">
        <v>45</v>
      </c>
      <c r="H487" t="s">
        <v>36</v>
      </c>
      <c r="I487" t="s">
        <v>37</v>
      </c>
      <c r="J487">
        <v>199</v>
      </c>
      <c r="K487" t="s">
        <v>44</v>
      </c>
      <c r="L487">
        <v>32</v>
      </c>
      <c r="M487" t="s">
        <v>45</v>
      </c>
      <c r="N487" t="s">
        <v>26</v>
      </c>
      <c r="O487">
        <v>45</v>
      </c>
      <c r="P487" t="s">
        <v>27</v>
      </c>
      <c r="Q487">
        <v>5</v>
      </c>
      <c r="R487">
        <v>199</v>
      </c>
    </row>
    <row r="488" spans="1:18" x14ac:dyDescent="0.3">
      <c r="A488" t="s">
        <v>547</v>
      </c>
      <c r="B488" s="1">
        <v>45124</v>
      </c>
      <c r="C488">
        <v>2023</v>
      </c>
      <c r="D488" t="s">
        <v>85</v>
      </c>
      <c r="E488" t="s">
        <v>52</v>
      </c>
      <c r="F488" t="s">
        <v>29</v>
      </c>
      <c r="G488">
        <v>32</v>
      </c>
      <c r="H488" t="s">
        <v>36</v>
      </c>
      <c r="I488" t="s">
        <v>23</v>
      </c>
      <c r="J488">
        <v>499</v>
      </c>
      <c r="K488" t="s">
        <v>30</v>
      </c>
      <c r="L488">
        <v>33</v>
      </c>
      <c r="M488" t="s">
        <v>25</v>
      </c>
      <c r="N488" t="s">
        <v>58</v>
      </c>
      <c r="O488">
        <v>37</v>
      </c>
      <c r="P488" t="s">
        <v>27</v>
      </c>
      <c r="Q488">
        <v>5</v>
      </c>
      <c r="R488">
        <v>499</v>
      </c>
    </row>
    <row r="489" spans="1:18" x14ac:dyDescent="0.3">
      <c r="A489" t="s">
        <v>548</v>
      </c>
      <c r="B489" s="1">
        <v>44669</v>
      </c>
      <c r="C489">
        <v>2022</v>
      </c>
      <c r="D489" t="s">
        <v>51</v>
      </c>
      <c r="E489" t="s">
        <v>52</v>
      </c>
      <c r="F489" t="s">
        <v>21</v>
      </c>
      <c r="G489">
        <v>41</v>
      </c>
      <c r="H489" t="s">
        <v>36</v>
      </c>
      <c r="I489" t="s">
        <v>48</v>
      </c>
      <c r="J489">
        <v>649</v>
      </c>
      <c r="K489" t="s">
        <v>57</v>
      </c>
      <c r="L489">
        <v>25</v>
      </c>
      <c r="M489" t="s">
        <v>25</v>
      </c>
      <c r="N489" t="s">
        <v>32</v>
      </c>
      <c r="O489">
        <v>48</v>
      </c>
      <c r="P489" t="s">
        <v>27</v>
      </c>
      <c r="Q489">
        <v>4</v>
      </c>
      <c r="R489">
        <v>649</v>
      </c>
    </row>
    <row r="490" spans="1:18" x14ac:dyDescent="0.3">
      <c r="A490" t="s">
        <v>549</v>
      </c>
      <c r="B490" s="1">
        <v>45466</v>
      </c>
      <c r="C490">
        <v>2024</v>
      </c>
      <c r="D490" t="s">
        <v>69</v>
      </c>
      <c r="E490" t="s">
        <v>20</v>
      </c>
      <c r="F490" t="s">
        <v>63</v>
      </c>
      <c r="G490">
        <v>27</v>
      </c>
      <c r="H490" t="s">
        <v>36</v>
      </c>
      <c r="I490" t="s">
        <v>23</v>
      </c>
      <c r="J490">
        <v>499</v>
      </c>
      <c r="K490" t="s">
        <v>44</v>
      </c>
      <c r="L490">
        <v>38</v>
      </c>
      <c r="M490" t="s">
        <v>25</v>
      </c>
      <c r="N490" t="s">
        <v>32</v>
      </c>
      <c r="O490">
        <v>10</v>
      </c>
      <c r="P490" t="s">
        <v>27</v>
      </c>
      <c r="Q490">
        <v>3</v>
      </c>
      <c r="R490">
        <v>499</v>
      </c>
    </row>
    <row r="491" spans="1:18" x14ac:dyDescent="0.3">
      <c r="A491" t="s">
        <v>550</v>
      </c>
      <c r="B491" s="1">
        <v>45449</v>
      </c>
      <c r="C491">
        <v>2024</v>
      </c>
      <c r="D491" t="s">
        <v>69</v>
      </c>
      <c r="E491" t="s">
        <v>20</v>
      </c>
      <c r="F491" t="s">
        <v>29</v>
      </c>
      <c r="G491">
        <v>26</v>
      </c>
      <c r="H491" t="s">
        <v>36</v>
      </c>
      <c r="I491" t="s">
        <v>37</v>
      </c>
      <c r="J491">
        <v>199</v>
      </c>
      <c r="K491" t="s">
        <v>49</v>
      </c>
      <c r="L491">
        <v>31</v>
      </c>
      <c r="M491" t="s">
        <v>25</v>
      </c>
      <c r="N491" t="s">
        <v>32</v>
      </c>
      <c r="O491">
        <v>42</v>
      </c>
      <c r="P491" t="s">
        <v>27</v>
      </c>
      <c r="Q491">
        <v>5</v>
      </c>
      <c r="R491">
        <v>199</v>
      </c>
    </row>
    <row r="492" spans="1:18" x14ac:dyDescent="0.3">
      <c r="A492" t="s">
        <v>551</v>
      </c>
      <c r="B492" s="1">
        <v>45327</v>
      </c>
      <c r="C492">
        <v>2024</v>
      </c>
      <c r="D492" t="s">
        <v>111</v>
      </c>
      <c r="E492" t="s">
        <v>35</v>
      </c>
      <c r="F492" t="s">
        <v>21</v>
      </c>
      <c r="G492">
        <v>52</v>
      </c>
      <c r="H492" t="s">
        <v>22</v>
      </c>
      <c r="I492" t="s">
        <v>23</v>
      </c>
      <c r="J492">
        <v>499</v>
      </c>
      <c r="K492" t="s">
        <v>57</v>
      </c>
      <c r="L492">
        <v>50</v>
      </c>
      <c r="M492" t="s">
        <v>25</v>
      </c>
      <c r="N492" t="s">
        <v>58</v>
      </c>
      <c r="O492">
        <v>7</v>
      </c>
      <c r="P492" t="s">
        <v>27</v>
      </c>
      <c r="Q492">
        <v>5</v>
      </c>
      <c r="R492">
        <v>499</v>
      </c>
    </row>
    <row r="493" spans="1:18" x14ac:dyDescent="0.3">
      <c r="A493" t="s">
        <v>552</v>
      </c>
      <c r="B493" s="1">
        <v>45318</v>
      </c>
      <c r="C493">
        <v>2024</v>
      </c>
      <c r="D493" t="s">
        <v>62</v>
      </c>
      <c r="E493" t="s">
        <v>52</v>
      </c>
      <c r="F493" t="s">
        <v>29</v>
      </c>
      <c r="G493">
        <v>50</v>
      </c>
      <c r="H493" t="s">
        <v>36</v>
      </c>
      <c r="I493" t="s">
        <v>37</v>
      </c>
      <c r="J493">
        <v>199</v>
      </c>
      <c r="K493" t="s">
        <v>75</v>
      </c>
      <c r="L493">
        <v>47</v>
      </c>
      <c r="M493" t="s">
        <v>31</v>
      </c>
      <c r="N493" t="s">
        <v>32</v>
      </c>
      <c r="O493">
        <v>3</v>
      </c>
      <c r="P493" t="s">
        <v>27</v>
      </c>
      <c r="Q493">
        <v>4</v>
      </c>
      <c r="R493">
        <v>199</v>
      </c>
    </row>
    <row r="494" spans="1:18" x14ac:dyDescent="0.3">
      <c r="A494" t="s">
        <v>553</v>
      </c>
      <c r="B494" s="1">
        <v>45312</v>
      </c>
      <c r="C494">
        <v>2024</v>
      </c>
      <c r="D494" t="s">
        <v>62</v>
      </c>
      <c r="E494" t="s">
        <v>20</v>
      </c>
      <c r="F494" t="s">
        <v>29</v>
      </c>
      <c r="G494">
        <v>54</v>
      </c>
      <c r="H494" t="s">
        <v>22</v>
      </c>
      <c r="I494" t="s">
        <v>23</v>
      </c>
      <c r="J494">
        <v>499</v>
      </c>
      <c r="K494" t="s">
        <v>44</v>
      </c>
      <c r="L494">
        <v>21</v>
      </c>
      <c r="M494" t="s">
        <v>41</v>
      </c>
      <c r="N494" t="s">
        <v>32</v>
      </c>
      <c r="O494">
        <v>48</v>
      </c>
      <c r="P494" t="s">
        <v>27</v>
      </c>
      <c r="Q494">
        <v>4</v>
      </c>
      <c r="R494">
        <v>499</v>
      </c>
    </row>
    <row r="495" spans="1:18" x14ac:dyDescent="0.3">
      <c r="A495" t="s">
        <v>554</v>
      </c>
      <c r="B495" s="1">
        <v>45754</v>
      </c>
      <c r="C495">
        <v>2025</v>
      </c>
      <c r="D495" t="s">
        <v>51</v>
      </c>
      <c r="E495" t="s">
        <v>52</v>
      </c>
      <c r="F495" t="s">
        <v>29</v>
      </c>
      <c r="G495">
        <v>53</v>
      </c>
      <c r="H495" t="s">
        <v>22</v>
      </c>
      <c r="I495" t="s">
        <v>37</v>
      </c>
      <c r="J495">
        <v>199</v>
      </c>
      <c r="K495" t="s">
        <v>30</v>
      </c>
      <c r="L495">
        <v>22</v>
      </c>
      <c r="M495" t="s">
        <v>45</v>
      </c>
      <c r="N495" t="s">
        <v>26</v>
      </c>
      <c r="O495">
        <v>43</v>
      </c>
      <c r="P495" t="s">
        <v>27</v>
      </c>
      <c r="Q495">
        <v>5</v>
      </c>
      <c r="R495">
        <v>199</v>
      </c>
    </row>
    <row r="496" spans="1:18" x14ac:dyDescent="0.3">
      <c r="A496" t="s">
        <v>555</v>
      </c>
      <c r="B496" s="1">
        <v>45372</v>
      </c>
      <c r="C496">
        <v>2024</v>
      </c>
      <c r="D496" t="s">
        <v>66</v>
      </c>
      <c r="E496" t="s">
        <v>20</v>
      </c>
      <c r="F496" t="s">
        <v>21</v>
      </c>
      <c r="G496">
        <v>46</v>
      </c>
      <c r="H496" t="s">
        <v>36</v>
      </c>
      <c r="I496" t="s">
        <v>23</v>
      </c>
      <c r="J496">
        <v>499</v>
      </c>
      <c r="K496" t="s">
        <v>40</v>
      </c>
      <c r="L496">
        <v>40</v>
      </c>
      <c r="M496" t="s">
        <v>25</v>
      </c>
      <c r="N496" t="s">
        <v>26</v>
      </c>
      <c r="O496">
        <v>7</v>
      </c>
      <c r="P496" t="s">
        <v>73</v>
      </c>
      <c r="Q496">
        <v>4</v>
      </c>
      <c r="R496">
        <v>0</v>
      </c>
    </row>
    <row r="497" spans="1:18" x14ac:dyDescent="0.3">
      <c r="A497" t="s">
        <v>556</v>
      </c>
      <c r="B497" s="1">
        <v>45589</v>
      </c>
      <c r="C497">
        <v>2024</v>
      </c>
      <c r="D497" t="s">
        <v>47</v>
      </c>
      <c r="E497" t="s">
        <v>20</v>
      </c>
      <c r="F497" t="s">
        <v>29</v>
      </c>
      <c r="G497">
        <v>25</v>
      </c>
      <c r="H497" t="s">
        <v>22</v>
      </c>
      <c r="I497" t="s">
        <v>23</v>
      </c>
      <c r="J497">
        <v>499</v>
      </c>
      <c r="K497" t="s">
        <v>44</v>
      </c>
      <c r="L497">
        <v>50</v>
      </c>
      <c r="M497" t="s">
        <v>25</v>
      </c>
      <c r="N497" t="s">
        <v>32</v>
      </c>
      <c r="O497">
        <v>39</v>
      </c>
      <c r="P497" t="s">
        <v>73</v>
      </c>
      <c r="Q497">
        <v>3</v>
      </c>
      <c r="R497">
        <v>0</v>
      </c>
    </row>
    <row r="498" spans="1:18" x14ac:dyDescent="0.3">
      <c r="A498" t="s">
        <v>557</v>
      </c>
      <c r="B498" s="1">
        <v>44981</v>
      </c>
      <c r="C498">
        <v>2023</v>
      </c>
      <c r="D498" t="s">
        <v>111</v>
      </c>
      <c r="E498" t="s">
        <v>52</v>
      </c>
      <c r="F498" t="s">
        <v>21</v>
      </c>
      <c r="G498">
        <v>50</v>
      </c>
      <c r="H498" t="s">
        <v>36</v>
      </c>
      <c r="I498" t="s">
        <v>37</v>
      </c>
      <c r="J498">
        <v>199</v>
      </c>
      <c r="K498" t="s">
        <v>67</v>
      </c>
      <c r="L498">
        <v>27</v>
      </c>
      <c r="M498" t="s">
        <v>45</v>
      </c>
      <c r="N498" t="s">
        <v>55</v>
      </c>
      <c r="O498">
        <v>25</v>
      </c>
      <c r="P498" t="s">
        <v>27</v>
      </c>
      <c r="Q498">
        <v>4</v>
      </c>
      <c r="R498">
        <v>199</v>
      </c>
    </row>
    <row r="499" spans="1:18" x14ac:dyDescent="0.3">
      <c r="A499" t="s">
        <v>558</v>
      </c>
      <c r="B499" s="1">
        <v>45575</v>
      </c>
      <c r="C499">
        <v>2024</v>
      </c>
      <c r="D499" t="s">
        <v>47</v>
      </c>
      <c r="E499" t="s">
        <v>20</v>
      </c>
      <c r="F499" t="s">
        <v>21</v>
      </c>
      <c r="G499">
        <v>38</v>
      </c>
      <c r="H499" t="s">
        <v>36</v>
      </c>
      <c r="I499" t="s">
        <v>48</v>
      </c>
      <c r="J499">
        <v>649</v>
      </c>
      <c r="K499" t="s">
        <v>49</v>
      </c>
      <c r="L499">
        <v>41</v>
      </c>
      <c r="M499" t="s">
        <v>41</v>
      </c>
      <c r="N499" t="s">
        <v>58</v>
      </c>
      <c r="O499">
        <v>18</v>
      </c>
      <c r="P499" t="s">
        <v>27</v>
      </c>
      <c r="Q499">
        <v>3</v>
      </c>
      <c r="R499">
        <v>649</v>
      </c>
    </row>
    <row r="500" spans="1:18" x14ac:dyDescent="0.3">
      <c r="A500" t="s">
        <v>559</v>
      </c>
      <c r="B500" s="1">
        <v>45650</v>
      </c>
      <c r="C500">
        <v>2024</v>
      </c>
      <c r="D500" t="s">
        <v>39</v>
      </c>
      <c r="E500" t="s">
        <v>35</v>
      </c>
      <c r="F500" t="s">
        <v>29</v>
      </c>
      <c r="G500">
        <v>46</v>
      </c>
      <c r="H500" t="s">
        <v>36</v>
      </c>
      <c r="I500" t="s">
        <v>48</v>
      </c>
      <c r="J500">
        <v>649</v>
      </c>
      <c r="K500" t="s">
        <v>44</v>
      </c>
      <c r="L500">
        <v>37</v>
      </c>
      <c r="M500" t="s">
        <v>25</v>
      </c>
      <c r="N500" t="s">
        <v>32</v>
      </c>
      <c r="O500">
        <v>19</v>
      </c>
      <c r="P500" t="s">
        <v>27</v>
      </c>
      <c r="Q500">
        <v>5</v>
      </c>
      <c r="R500">
        <v>649</v>
      </c>
    </row>
    <row r="501" spans="1:18" x14ac:dyDescent="0.3">
      <c r="A501" t="s">
        <v>560</v>
      </c>
      <c r="B501" s="1">
        <v>44798</v>
      </c>
      <c r="C501">
        <v>2022</v>
      </c>
      <c r="D501" t="s">
        <v>34</v>
      </c>
      <c r="E501" t="s">
        <v>35</v>
      </c>
      <c r="F501" t="s">
        <v>63</v>
      </c>
      <c r="G501">
        <v>47</v>
      </c>
      <c r="H501" t="s">
        <v>22</v>
      </c>
      <c r="I501" t="s">
        <v>37</v>
      </c>
      <c r="J501">
        <v>199</v>
      </c>
      <c r="K501" t="s">
        <v>57</v>
      </c>
      <c r="L501">
        <v>43</v>
      </c>
      <c r="M501" t="s">
        <v>45</v>
      </c>
      <c r="N501" t="s">
        <v>26</v>
      </c>
      <c r="O501">
        <v>42</v>
      </c>
      <c r="P501" t="s">
        <v>73</v>
      </c>
      <c r="Q501">
        <v>3</v>
      </c>
      <c r="R501">
        <v>0</v>
      </c>
    </row>
    <row r="502" spans="1:18" x14ac:dyDescent="0.3">
      <c r="A502" t="s">
        <v>561</v>
      </c>
      <c r="B502" s="1">
        <v>45194</v>
      </c>
      <c r="C502">
        <v>2023</v>
      </c>
      <c r="D502" t="s">
        <v>60</v>
      </c>
      <c r="E502" t="s">
        <v>52</v>
      </c>
      <c r="F502" t="s">
        <v>63</v>
      </c>
      <c r="G502">
        <v>38</v>
      </c>
      <c r="H502" t="s">
        <v>22</v>
      </c>
      <c r="I502" t="s">
        <v>23</v>
      </c>
      <c r="J502">
        <v>499</v>
      </c>
      <c r="K502" t="s">
        <v>44</v>
      </c>
      <c r="L502">
        <v>49</v>
      </c>
      <c r="M502" t="s">
        <v>41</v>
      </c>
      <c r="N502" t="s">
        <v>55</v>
      </c>
      <c r="O502">
        <v>30</v>
      </c>
      <c r="P502" t="s">
        <v>27</v>
      </c>
      <c r="Q502">
        <v>4</v>
      </c>
      <c r="R502">
        <v>499</v>
      </c>
    </row>
    <row r="503" spans="1:18" x14ac:dyDescent="0.3">
      <c r="A503" t="s">
        <v>562</v>
      </c>
      <c r="B503" s="1">
        <v>45003</v>
      </c>
      <c r="C503">
        <v>2023</v>
      </c>
      <c r="D503" t="s">
        <v>66</v>
      </c>
      <c r="E503" t="s">
        <v>43</v>
      </c>
      <c r="F503" t="s">
        <v>63</v>
      </c>
      <c r="G503">
        <v>40</v>
      </c>
      <c r="H503" t="s">
        <v>36</v>
      </c>
      <c r="I503" t="s">
        <v>37</v>
      </c>
      <c r="J503">
        <v>199</v>
      </c>
      <c r="K503" t="s">
        <v>30</v>
      </c>
      <c r="L503">
        <v>53</v>
      </c>
      <c r="M503" t="s">
        <v>45</v>
      </c>
      <c r="N503" t="s">
        <v>32</v>
      </c>
      <c r="O503">
        <v>13</v>
      </c>
      <c r="P503" t="s">
        <v>73</v>
      </c>
      <c r="Q503">
        <v>5</v>
      </c>
      <c r="R503">
        <v>0</v>
      </c>
    </row>
    <row r="504" spans="1:18" x14ac:dyDescent="0.3">
      <c r="A504" t="s">
        <v>563</v>
      </c>
      <c r="B504" s="1">
        <v>45610</v>
      </c>
      <c r="C504">
        <v>2024</v>
      </c>
      <c r="D504" t="s">
        <v>19</v>
      </c>
      <c r="E504" t="s">
        <v>20</v>
      </c>
      <c r="F504" t="s">
        <v>29</v>
      </c>
      <c r="G504">
        <v>41</v>
      </c>
      <c r="H504" t="s">
        <v>22</v>
      </c>
      <c r="I504" t="s">
        <v>37</v>
      </c>
      <c r="J504">
        <v>199</v>
      </c>
      <c r="K504" t="s">
        <v>57</v>
      </c>
      <c r="L504">
        <v>31</v>
      </c>
      <c r="M504" t="s">
        <v>25</v>
      </c>
      <c r="N504" t="s">
        <v>26</v>
      </c>
      <c r="O504">
        <v>35</v>
      </c>
      <c r="P504" t="s">
        <v>27</v>
      </c>
      <c r="Q504">
        <v>3</v>
      </c>
      <c r="R504">
        <v>199</v>
      </c>
    </row>
    <row r="505" spans="1:18" x14ac:dyDescent="0.3">
      <c r="A505" t="s">
        <v>564</v>
      </c>
      <c r="B505" s="1">
        <v>45872</v>
      </c>
      <c r="C505">
        <v>2025</v>
      </c>
      <c r="D505" t="s">
        <v>34</v>
      </c>
      <c r="E505" t="s">
        <v>43</v>
      </c>
      <c r="F505" t="s">
        <v>21</v>
      </c>
      <c r="G505">
        <v>18</v>
      </c>
      <c r="H505" t="s">
        <v>36</v>
      </c>
      <c r="I505" t="s">
        <v>23</v>
      </c>
      <c r="J505">
        <v>499</v>
      </c>
      <c r="K505" t="s">
        <v>44</v>
      </c>
      <c r="L505">
        <v>26</v>
      </c>
      <c r="M505" t="s">
        <v>31</v>
      </c>
      <c r="N505" t="s">
        <v>58</v>
      </c>
      <c r="O505">
        <v>28</v>
      </c>
      <c r="P505" t="s">
        <v>27</v>
      </c>
      <c r="Q505">
        <v>3</v>
      </c>
      <c r="R505">
        <v>499</v>
      </c>
    </row>
    <row r="506" spans="1:18" x14ac:dyDescent="0.3">
      <c r="A506" t="s">
        <v>565</v>
      </c>
      <c r="B506" s="1">
        <v>45620</v>
      </c>
      <c r="C506">
        <v>2024</v>
      </c>
      <c r="D506" t="s">
        <v>19</v>
      </c>
      <c r="E506" t="s">
        <v>43</v>
      </c>
      <c r="F506" t="s">
        <v>63</v>
      </c>
      <c r="G506">
        <v>36</v>
      </c>
      <c r="H506" t="s">
        <v>36</v>
      </c>
      <c r="I506" t="s">
        <v>23</v>
      </c>
      <c r="J506">
        <v>499</v>
      </c>
      <c r="K506" t="s">
        <v>57</v>
      </c>
      <c r="L506">
        <v>30</v>
      </c>
      <c r="M506" t="s">
        <v>45</v>
      </c>
      <c r="N506" t="s">
        <v>32</v>
      </c>
      <c r="O506">
        <v>36</v>
      </c>
      <c r="P506" t="s">
        <v>27</v>
      </c>
      <c r="Q506">
        <v>5</v>
      </c>
      <c r="R506">
        <v>499</v>
      </c>
    </row>
    <row r="507" spans="1:18" x14ac:dyDescent="0.3">
      <c r="A507" t="s">
        <v>566</v>
      </c>
      <c r="B507" s="1">
        <v>45045</v>
      </c>
      <c r="C507">
        <v>2023</v>
      </c>
      <c r="D507" t="s">
        <v>51</v>
      </c>
      <c r="E507" t="s">
        <v>43</v>
      </c>
      <c r="F507" t="s">
        <v>63</v>
      </c>
      <c r="G507">
        <v>29</v>
      </c>
      <c r="H507" t="s">
        <v>22</v>
      </c>
      <c r="I507" t="s">
        <v>23</v>
      </c>
      <c r="J507">
        <v>499</v>
      </c>
      <c r="K507" t="s">
        <v>57</v>
      </c>
      <c r="L507">
        <v>44</v>
      </c>
      <c r="M507" t="s">
        <v>25</v>
      </c>
      <c r="N507" t="s">
        <v>26</v>
      </c>
      <c r="O507">
        <v>14</v>
      </c>
      <c r="P507" t="s">
        <v>27</v>
      </c>
      <c r="Q507">
        <v>4</v>
      </c>
      <c r="R507">
        <v>499</v>
      </c>
    </row>
    <row r="508" spans="1:18" x14ac:dyDescent="0.3">
      <c r="A508" t="s">
        <v>567</v>
      </c>
      <c r="B508" s="1">
        <v>44931</v>
      </c>
      <c r="C508">
        <v>2023</v>
      </c>
      <c r="D508" t="s">
        <v>62</v>
      </c>
      <c r="E508" t="s">
        <v>52</v>
      </c>
      <c r="F508" t="s">
        <v>29</v>
      </c>
      <c r="G508">
        <v>25</v>
      </c>
      <c r="H508" t="s">
        <v>36</v>
      </c>
      <c r="I508" t="s">
        <v>37</v>
      </c>
      <c r="J508">
        <v>199</v>
      </c>
      <c r="K508" t="s">
        <v>49</v>
      </c>
      <c r="L508">
        <v>58</v>
      </c>
      <c r="M508" t="s">
        <v>31</v>
      </c>
      <c r="N508" t="s">
        <v>58</v>
      </c>
      <c r="O508">
        <v>12</v>
      </c>
      <c r="P508" t="s">
        <v>27</v>
      </c>
      <c r="Q508">
        <v>3</v>
      </c>
      <c r="R508">
        <v>199</v>
      </c>
    </row>
    <row r="509" spans="1:18" x14ac:dyDescent="0.3">
      <c r="A509" t="s">
        <v>568</v>
      </c>
      <c r="B509" s="1">
        <v>45358</v>
      </c>
      <c r="C509">
        <v>2024</v>
      </c>
      <c r="D509" t="s">
        <v>66</v>
      </c>
      <c r="E509" t="s">
        <v>35</v>
      </c>
      <c r="F509" t="s">
        <v>21</v>
      </c>
      <c r="G509">
        <v>44</v>
      </c>
      <c r="H509" t="s">
        <v>36</v>
      </c>
      <c r="I509" t="s">
        <v>37</v>
      </c>
      <c r="J509">
        <v>199</v>
      </c>
      <c r="K509" t="s">
        <v>53</v>
      </c>
      <c r="L509">
        <v>21</v>
      </c>
      <c r="M509" t="s">
        <v>31</v>
      </c>
      <c r="N509" t="s">
        <v>55</v>
      </c>
      <c r="O509">
        <v>25</v>
      </c>
      <c r="P509" t="s">
        <v>73</v>
      </c>
      <c r="Q509">
        <v>2</v>
      </c>
      <c r="R509">
        <v>0</v>
      </c>
    </row>
    <row r="510" spans="1:18" x14ac:dyDescent="0.3">
      <c r="A510" t="s">
        <v>569</v>
      </c>
      <c r="B510" s="1">
        <v>45416</v>
      </c>
      <c r="C510">
        <v>2024</v>
      </c>
      <c r="D510" t="s">
        <v>79</v>
      </c>
      <c r="E510" t="s">
        <v>35</v>
      </c>
      <c r="F510" t="s">
        <v>63</v>
      </c>
      <c r="G510">
        <v>51</v>
      </c>
      <c r="H510" t="s">
        <v>22</v>
      </c>
      <c r="I510" t="s">
        <v>37</v>
      </c>
      <c r="J510">
        <v>199</v>
      </c>
      <c r="K510" t="s">
        <v>67</v>
      </c>
      <c r="L510">
        <v>58</v>
      </c>
      <c r="M510" t="s">
        <v>25</v>
      </c>
      <c r="N510" t="s">
        <v>26</v>
      </c>
      <c r="O510">
        <v>7</v>
      </c>
      <c r="P510" t="s">
        <v>27</v>
      </c>
      <c r="Q510">
        <v>5</v>
      </c>
      <c r="R510">
        <v>199</v>
      </c>
    </row>
    <row r="511" spans="1:18" x14ac:dyDescent="0.3">
      <c r="A511" t="s">
        <v>570</v>
      </c>
      <c r="B511" s="1">
        <v>45528</v>
      </c>
      <c r="C511">
        <v>2024</v>
      </c>
      <c r="D511" t="s">
        <v>34</v>
      </c>
      <c r="E511" t="s">
        <v>43</v>
      </c>
      <c r="F511" t="s">
        <v>63</v>
      </c>
      <c r="G511">
        <v>53</v>
      </c>
      <c r="H511" t="s">
        <v>36</v>
      </c>
      <c r="I511" t="s">
        <v>23</v>
      </c>
      <c r="J511">
        <v>499</v>
      </c>
      <c r="K511" t="s">
        <v>30</v>
      </c>
      <c r="L511">
        <v>44</v>
      </c>
      <c r="M511" t="s">
        <v>31</v>
      </c>
      <c r="N511" t="s">
        <v>55</v>
      </c>
      <c r="O511">
        <v>5</v>
      </c>
      <c r="P511" t="s">
        <v>27</v>
      </c>
      <c r="Q511">
        <v>5</v>
      </c>
      <c r="R511">
        <v>499</v>
      </c>
    </row>
    <row r="512" spans="1:18" x14ac:dyDescent="0.3">
      <c r="A512" t="s">
        <v>571</v>
      </c>
      <c r="B512" s="1">
        <v>45806</v>
      </c>
      <c r="C512">
        <v>2025</v>
      </c>
      <c r="D512" t="s">
        <v>79</v>
      </c>
      <c r="E512" t="s">
        <v>43</v>
      </c>
      <c r="F512" t="s">
        <v>21</v>
      </c>
      <c r="G512">
        <v>39</v>
      </c>
      <c r="H512" t="s">
        <v>36</v>
      </c>
      <c r="I512" t="s">
        <v>37</v>
      </c>
      <c r="J512">
        <v>199</v>
      </c>
      <c r="K512" t="s">
        <v>49</v>
      </c>
      <c r="L512">
        <v>48</v>
      </c>
      <c r="M512" t="s">
        <v>31</v>
      </c>
      <c r="N512" t="s">
        <v>32</v>
      </c>
      <c r="O512">
        <v>32</v>
      </c>
      <c r="P512" t="s">
        <v>27</v>
      </c>
      <c r="Q512">
        <v>3</v>
      </c>
      <c r="R512">
        <v>199</v>
      </c>
    </row>
    <row r="513" spans="1:18" x14ac:dyDescent="0.3">
      <c r="A513" t="s">
        <v>572</v>
      </c>
      <c r="B513" s="1">
        <v>45003</v>
      </c>
      <c r="C513">
        <v>2023</v>
      </c>
      <c r="D513" t="s">
        <v>66</v>
      </c>
      <c r="E513" t="s">
        <v>52</v>
      </c>
      <c r="F513" t="s">
        <v>21</v>
      </c>
      <c r="G513">
        <v>32</v>
      </c>
      <c r="H513" t="s">
        <v>22</v>
      </c>
      <c r="I513" t="s">
        <v>23</v>
      </c>
      <c r="J513">
        <v>499</v>
      </c>
      <c r="K513" t="s">
        <v>40</v>
      </c>
      <c r="L513">
        <v>25</v>
      </c>
      <c r="M513" t="s">
        <v>41</v>
      </c>
      <c r="N513" t="s">
        <v>26</v>
      </c>
      <c r="O513">
        <v>2</v>
      </c>
      <c r="P513" t="s">
        <v>27</v>
      </c>
      <c r="Q513">
        <v>5</v>
      </c>
      <c r="R513">
        <v>499</v>
      </c>
    </row>
    <row r="514" spans="1:18" x14ac:dyDescent="0.3">
      <c r="A514" t="s">
        <v>573</v>
      </c>
      <c r="B514" s="1">
        <v>45574</v>
      </c>
      <c r="C514">
        <v>2024</v>
      </c>
      <c r="D514" t="s">
        <v>47</v>
      </c>
      <c r="E514" t="s">
        <v>52</v>
      </c>
      <c r="F514" t="s">
        <v>63</v>
      </c>
      <c r="G514">
        <v>26</v>
      </c>
      <c r="H514" t="s">
        <v>22</v>
      </c>
      <c r="I514" t="s">
        <v>37</v>
      </c>
      <c r="J514">
        <v>199</v>
      </c>
      <c r="K514" t="s">
        <v>49</v>
      </c>
      <c r="L514">
        <v>54</v>
      </c>
      <c r="M514" t="s">
        <v>41</v>
      </c>
      <c r="N514" t="s">
        <v>55</v>
      </c>
      <c r="O514">
        <v>25</v>
      </c>
      <c r="P514" t="s">
        <v>27</v>
      </c>
      <c r="Q514">
        <v>3</v>
      </c>
      <c r="R514">
        <v>199</v>
      </c>
    </row>
    <row r="515" spans="1:18" x14ac:dyDescent="0.3">
      <c r="A515" t="s">
        <v>574</v>
      </c>
      <c r="B515" s="1">
        <v>44704</v>
      </c>
      <c r="C515">
        <v>2022</v>
      </c>
      <c r="D515" t="s">
        <v>79</v>
      </c>
      <c r="E515" t="s">
        <v>20</v>
      </c>
      <c r="F515" t="s">
        <v>29</v>
      </c>
      <c r="G515">
        <v>22</v>
      </c>
      <c r="H515" t="s">
        <v>36</v>
      </c>
      <c r="I515" t="s">
        <v>23</v>
      </c>
      <c r="J515">
        <v>499</v>
      </c>
      <c r="K515" t="s">
        <v>75</v>
      </c>
      <c r="L515">
        <v>52</v>
      </c>
      <c r="M515" t="s">
        <v>45</v>
      </c>
      <c r="N515" t="s">
        <v>32</v>
      </c>
      <c r="O515">
        <v>32</v>
      </c>
      <c r="P515" t="s">
        <v>73</v>
      </c>
      <c r="Q515">
        <v>2</v>
      </c>
      <c r="R515">
        <v>0</v>
      </c>
    </row>
    <row r="516" spans="1:18" x14ac:dyDescent="0.3">
      <c r="A516" t="s">
        <v>575</v>
      </c>
      <c r="B516" s="1">
        <v>44943</v>
      </c>
      <c r="C516">
        <v>2023</v>
      </c>
      <c r="D516" t="s">
        <v>62</v>
      </c>
      <c r="E516" t="s">
        <v>35</v>
      </c>
      <c r="F516" t="s">
        <v>63</v>
      </c>
      <c r="G516">
        <v>47</v>
      </c>
      <c r="H516" t="s">
        <v>36</v>
      </c>
      <c r="I516" t="s">
        <v>37</v>
      </c>
      <c r="J516">
        <v>199</v>
      </c>
      <c r="K516" t="s">
        <v>49</v>
      </c>
      <c r="L516">
        <v>34</v>
      </c>
      <c r="M516" t="s">
        <v>25</v>
      </c>
      <c r="N516" t="s">
        <v>32</v>
      </c>
      <c r="O516">
        <v>48</v>
      </c>
      <c r="P516" t="s">
        <v>27</v>
      </c>
      <c r="Q516">
        <v>4</v>
      </c>
      <c r="R516">
        <v>199</v>
      </c>
    </row>
    <row r="517" spans="1:18" x14ac:dyDescent="0.3">
      <c r="A517" t="s">
        <v>576</v>
      </c>
      <c r="B517" s="1">
        <v>45465</v>
      </c>
      <c r="C517">
        <v>2024</v>
      </c>
      <c r="D517" t="s">
        <v>69</v>
      </c>
      <c r="E517" t="s">
        <v>35</v>
      </c>
      <c r="F517" t="s">
        <v>63</v>
      </c>
      <c r="G517">
        <v>20</v>
      </c>
      <c r="H517" t="s">
        <v>36</v>
      </c>
      <c r="I517" t="s">
        <v>48</v>
      </c>
      <c r="J517">
        <v>649</v>
      </c>
      <c r="K517" t="s">
        <v>57</v>
      </c>
      <c r="L517">
        <v>48</v>
      </c>
      <c r="M517" t="s">
        <v>45</v>
      </c>
      <c r="N517" t="s">
        <v>58</v>
      </c>
      <c r="O517">
        <v>45</v>
      </c>
      <c r="P517" t="s">
        <v>27</v>
      </c>
      <c r="Q517">
        <v>3</v>
      </c>
      <c r="R517">
        <v>649</v>
      </c>
    </row>
    <row r="518" spans="1:18" x14ac:dyDescent="0.3">
      <c r="A518" t="s">
        <v>577</v>
      </c>
      <c r="B518" s="1">
        <v>44891</v>
      </c>
      <c r="C518">
        <v>2022</v>
      </c>
      <c r="D518" t="s">
        <v>19</v>
      </c>
      <c r="E518" t="s">
        <v>43</v>
      </c>
      <c r="F518" t="s">
        <v>63</v>
      </c>
      <c r="G518">
        <v>38</v>
      </c>
      <c r="H518" t="s">
        <v>36</v>
      </c>
      <c r="I518" t="s">
        <v>48</v>
      </c>
      <c r="J518">
        <v>649</v>
      </c>
      <c r="K518" t="s">
        <v>53</v>
      </c>
      <c r="L518">
        <v>30</v>
      </c>
      <c r="M518" t="s">
        <v>41</v>
      </c>
      <c r="N518" t="s">
        <v>32</v>
      </c>
      <c r="O518">
        <v>15</v>
      </c>
      <c r="P518" t="s">
        <v>27</v>
      </c>
      <c r="Q518">
        <v>5</v>
      </c>
      <c r="R518">
        <v>649</v>
      </c>
    </row>
    <row r="519" spans="1:18" x14ac:dyDescent="0.3">
      <c r="A519" t="s">
        <v>578</v>
      </c>
      <c r="B519" s="1">
        <v>45608</v>
      </c>
      <c r="C519">
        <v>2024</v>
      </c>
      <c r="D519" t="s">
        <v>19</v>
      </c>
      <c r="E519" t="s">
        <v>52</v>
      </c>
      <c r="F519" t="s">
        <v>63</v>
      </c>
      <c r="G519">
        <v>42</v>
      </c>
      <c r="H519" t="s">
        <v>36</v>
      </c>
      <c r="I519" t="s">
        <v>23</v>
      </c>
      <c r="J519">
        <v>499</v>
      </c>
      <c r="K519" t="s">
        <v>57</v>
      </c>
      <c r="L519">
        <v>46</v>
      </c>
      <c r="M519" t="s">
        <v>45</v>
      </c>
      <c r="N519" t="s">
        <v>58</v>
      </c>
      <c r="O519">
        <v>29</v>
      </c>
      <c r="P519" t="s">
        <v>27</v>
      </c>
      <c r="Q519">
        <v>5</v>
      </c>
      <c r="R519">
        <v>499</v>
      </c>
    </row>
    <row r="520" spans="1:18" x14ac:dyDescent="0.3">
      <c r="A520" t="s">
        <v>579</v>
      </c>
      <c r="B520" s="1">
        <v>45001</v>
      </c>
      <c r="C520">
        <v>2023</v>
      </c>
      <c r="D520" t="s">
        <v>66</v>
      </c>
      <c r="E520" t="s">
        <v>35</v>
      </c>
      <c r="F520" t="s">
        <v>63</v>
      </c>
      <c r="G520">
        <v>24</v>
      </c>
      <c r="H520" t="s">
        <v>36</v>
      </c>
      <c r="I520" t="s">
        <v>48</v>
      </c>
      <c r="J520">
        <v>649</v>
      </c>
      <c r="K520" t="s">
        <v>49</v>
      </c>
      <c r="L520">
        <v>24</v>
      </c>
      <c r="M520" t="s">
        <v>45</v>
      </c>
      <c r="N520" t="s">
        <v>55</v>
      </c>
      <c r="O520">
        <v>12</v>
      </c>
      <c r="P520" t="s">
        <v>27</v>
      </c>
      <c r="Q520">
        <v>4</v>
      </c>
      <c r="R520">
        <v>649</v>
      </c>
    </row>
    <row r="521" spans="1:18" x14ac:dyDescent="0.3">
      <c r="A521" t="s">
        <v>580</v>
      </c>
      <c r="B521" s="1">
        <v>44900</v>
      </c>
      <c r="C521">
        <v>2022</v>
      </c>
      <c r="D521" t="s">
        <v>39</v>
      </c>
      <c r="E521" t="s">
        <v>52</v>
      </c>
      <c r="F521" t="s">
        <v>29</v>
      </c>
      <c r="G521">
        <v>27</v>
      </c>
      <c r="H521" t="s">
        <v>22</v>
      </c>
      <c r="I521" t="s">
        <v>23</v>
      </c>
      <c r="J521">
        <v>499</v>
      </c>
      <c r="K521" t="s">
        <v>40</v>
      </c>
      <c r="L521">
        <v>51</v>
      </c>
      <c r="M521" t="s">
        <v>25</v>
      </c>
      <c r="N521" t="s">
        <v>26</v>
      </c>
      <c r="O521">
        <v>42</v>
      </c>
      <c r="P521" t="s">
        <v>73</v>
      </c>
      <c r="Q521">
        <v>2</v>
      </c>
      <c r="R521">
        <v>0</v>
      </c>
    </row>
    <row r="522" spans="1:18" x14ac:dyDescent="0.3">
      <c r="A522" t="s">
        <v>581</v>
      </c>
      <c r="B522" s="1">
        <v>45768</v>
      </c>
      <c r="C522">
        <v>2025</v>
      </c>
      <c r="D522" t="s">
        <v>51</v>
      </c>
      <c r="E522" t="s">
        <v>43</v>
      </c>
      <c r="F522" t="s">
        <v>63</v>
      </c>
      <c r="G522">
        <v>44</v>
      </c>
      <c r="H522" t="s">
        <v>22</v>
      </c>
      <c r="I522" t="s">
        <v>23</v>
      </c>
      <c r="J522">
        <v>499</v>
      </c>
      <c r="K522" t="s">
        <v>40</v>
      </c>
      <c r="L522">
        <v>25</v>
      </c>
      <c r="M522" t="s">
        <v>45</v>
      </c>
      <c r="N522" t="s">
        <v>55</v>
      </c>
      <c r="O522">
        <v>26</v>
      </c>
      <c r="P522" t="s">
        <v>27</v>
      </c>
      <c r="Q522">
        <v>4</v>
      </c>
      <c r="R522">
        <v>499</v>
      </c>
    </row>
    <row r="523" spans="1:18" x14ac:dyDescent="0.3">
      <c r="A523" t="s">
        <v>582</v>
      </c>
      <c r="B523" s="1">
        <v>44886</v>
      </c>
      <c r="C523">
        <v>2022</v>
      </c>
      <c r="D523" t="s">
        <v>19</v>
      </c>
      <c r="E523" t="s">
        <v>35</v>
      </c>
      <c r="F523" t="s">
        <v>29</v>
      </c>
      <c r="G523">
        <v>45</v>
      </c>
      <c r="H523" t="s">
        <v>22</v>
      </c>
      <c r="I523" t="s">
        <v>37</v>
      </c>
      <c r="J523">
        <v>199</v>
      </c>
      <c r="K523" t="s">
        <v>75</v>
      </c>
      <c r="L523">
        <v>30</v>
      </c>
      <c r="M523" t="s">
        <v>45</v>
      </c>
      <c r="N523" t="s">
        <v>32</v>
      </c>
      <c r="O523">
        <v>26</v>
      </c>
      <c r="P523" t="s">
        <v>27</v>
      </c>
      <c r="Q523">
        <v>3</v>
      </c>
      <c r="R523">
        <v>199</v>
      </c>
    </row>
    <row r="524" spans="1:18" x14ac:dyDescent="0.3">
      <c r="A524" t="s">
        <v>583</v>
      </c>
      <c r="B524" s="1">
        <v>45946</v>
      </c>
      <c r="C524">
        <v>2025</v>
      </c>
      <c r="D524" t="s">
        <v>47</v>
      </c>
      <c r="E524" t="s">
        <v>52</v>
      </c>
      <c r="F524" t="s">
        <v>21</v>
      </c>
      <c r="G524">
        <v>31</v>
      </c>
      <c r="H524" t="s">
        <v>36</v>
      </c>
      <c r="I524" t="s">
        <v>37</v>
      </c>
      <c r="J524">
        <v>199</v>
      </c>
      <c r="K524" t="s">
        <v>44</v>
      </c>
      <c r="L524">
        <v>54</v>
      </c>
      <c r="M524" t="s">
        <v>41</v>
      </c>
      <c r="N524" t="s">
        <v>26</v>
      </c>
      <c r="O524">
        <v>42</v>
      </c>
      <c r="P524" t="s">
        <v>27</v>
      </c>
      <c r="Q524">
        <v>3</v>
      </c>
      <c r="R524">
        <v>199</v>
      </c>
    </row>
    <row r="525" spans="1:18" x14ac:dyDescent="0.3">
      <c r="A525" t="s">
        <v>584</v>
      </c>
      <c r="B525" s="1">
        <v>44682</v>
      </c>
      <c r="C525">
        <v>2022</v>
      </c>
      <c r="D525" t="s">
        <v>79</v>
      </c>
      <c r="E525" t="s">
        <v>43</v>
      </c>
      <c r="F525" t="s">
        <v>29</v>
      </c>
      <c r="G525">
        <v>27</v>
      </c>
      <c r="H525" t="s">
        <v>22</v>
      </c>
      <c r="I525" t="s">
        <v>37</v>
      </c>
      <c r="J525">
        <v>199</v>
      </c>
      <c r="K525" t="s">
        <v>67</v>
      </c>
      <c r="L525">
        <v>54</v>
      </c>
      <c r="M525" t="s">
        <v>31</v>
      </c>
      <c r="N525" t="s">
        <v>58</v>
      </c>
      <c r="O525">
        <v>32</v>
      </c>
      <c r="P525" t="s">
        <v>27</v>
      </c>
      <c r="Q525">
        <v>5</v>
      </c>
      <c r="R525">
        <v>199</v>
      </c>
    </row>
    <row r="526" spans="1:18" x14ac:dyDescent="0.3">
      <c r="A526" t="s">
        <v>585</v>
      </c>
      <c r="B526" s="1">
        <v>44849</v>
      </c>
      <c r="C526">
        <v>2022</v>
      </c>
      <c r="D526" t="s">
        <v>47</v>
      </c>
      <c r="E526" t="s">
        <v>35</v>
      </c>
      <c r="F526" t="s">
        <v>29</v>
      </c>
      <c r="G526">
        <v>27</v>
      </c>
      <c r="H526" t="s">
        <v>22</v>
      </c>
      <c r="I526" t="s">
        <v>23</v>
      </c>
      <c r="J526">
        <v>499</v>
      </c>
      <c r="K526" t="s">
        <v>44</v>
      </c>
      <c r="L526">
        <v>23</v>
      </c>
      <c r="M526" t="s">
        <v>45</v>
      </c>
      <c r="N526" t="s">
        <v>55</v>
      </c>
      <c r="O526">
        <v>48</v>
      </c>
      <c r="P526" t="s">
        <v>27</v>
      </c>
      <c r="Q526">
        <v>3</v>
      </c>
      <c r="R526">
        <v>499</v>
      </c>
    </row>
    <row r="527" spans="1:18" x14ac:dyDescent="0.3">
      <c r="A527" t="s">
        <v>586</v>
      </c>
      <c r="B527" s="1">
        <v>45051</v>
      </c>
      <c r="C527">
        <v>2023</v>
      </c>
      <c r="D527" t="s">
        <v>79</v>
      </c>
      <c r="E527" t="s">
        <v>35</v>
      </c>
      <c r="F527" t="s">
        <v>29</v>
      </c>
      <c r="G527">
        <v>37</v>
      </c>
      <c r="H527" t="s">
        <v>22</v>
      </c>
      <c r="I527" t="s">
        <v>23</v>
      </c>
      <c r="J527">
        <v>499</v>
      </c>
      <c r="K527" t="s">
        <v>24</v>
      </c>
      <c r="L527">
        <v>58</v>
      </c>
      <c r="M527" t="s">
        <v>41</v>
      </c>
      <c r="N527" t="s">
        <v>26</v>
      </c>
      <c r="O527">
        <v>6</v>
      </c>
      <c r="P527" t="s">
        <v>27</v>
      </c>
      <c r="Q527">
        <v>4</v>
      </c>
      <c r="R527">
        <v>499</v>
      </c>
    </row>
    <row r="528" spans="1:18" x14ac:dyDescent="0.3">
      <c r="A528" t="s">
        <v>587</v>
      </c>
      <c r="B528" s="1">
        <v>44972</v>
      </c>
      <c r="C528">
        <v>2023</v>
      </c>
      <c r="D528" t="s">
        <v>111</v>
      </c>
      <c r="E528" t="s">
        <v>20</v>
      </c>
      <c r="F528" t="s">
        <v>29</v>
      </c>
      <c r="G528">
        <v>46</v>
      </c>
      <c r="H528" t="s">
        <v>22</v>
      </c>
      <c r="I528" t="s">
        <v>23</v>
      </c>
      <c r="J528">
        <v>499</v>
      </c>
      <c r="K528" t="s">
        <v>67</v>
      </c>
      <c r="L528">
        <v>60</v>
      </c>
      <c r="M528" t="s">
        <v>45</v>
      </c>
      <c r="N528" t="s">
        <v>55</v>
      </c>
      <c r="O528">
        <v>19</v>
      </c>
      <c r="P528" t="s">
        <v>27</v>
      </c>
      <c r="Q528">
        <v>4</v>
      </c>
      <c r="R528">
        <v>499</v>
      </c>
    </row>
    <row r="529" spans="1:18" x14ac:dyDescent="0.3">
      <c r="A529" t="s">
        <v>588</v>
      </c>
      <c r="B529" s="1">
        <v>45461</v>
      </c>
      <c r="C529">
        <v>2024</v>
      </c>
      <c r="D529" t="s">
        <v>69</v>
      </c>
      <c r="E529" t="s">
        <v>20</v>
      </c>
      <c r="F529" t="s">
        <v>21</v>
      </c>
      <c r="G529">
        <v>18</v>
      </c>
      <c r="H529" t="s">
        <v>36</v>
      </c>
      <c r="I529" t="s">
        <v>37</v>
      </c>
      <c r="J529">
        <v>199</v>
      </c>
      <c r="K529" t="s">
        <v>53</v>
      </c>
      <c r="L529">
        <v>56</v>
      </c>
      <c r="M529" t="s">
        <v>41</v>
      </c>
      <c r="N529" t="s">
        <v>55</v>
      </c>
      <c r="O529">
        <v>29</v>
      </c>
      <c r="P529" t="s">
        <v>27</v>
      </c>
      <c r="Q529">
        <v>3</v>
      </c>
      <c r="R529">
        <v>199</v>
      </c>
    </row>
    <row r="530" spans="1:18" x14ac:dyDescent="0.3">
      <c r="A530" t="s">
        <v>589</v>
      </c>
      <c r="B530" s="1">
        <v>45992</v>
      </c>
      <c r="C530">
        <v>2025</v>
      </c>
      <c r="D530" t="s">
        <v>39</v>
      </c>
      <c r="E530" t="s">
        <v>43</v>
      </c>
      <c r="F530" t="s">
        <v>63</v>
      </c>
      <c r="G530">
        <v>28</v>
      </c>
      <c r="H530" t="s">
        <v>22</v>
      </c>
      <c r="I530" t="s">
        <v>37</v>
      </c>
      <c r="J530">
        <v>199</v>
      </c>
      <c r="K530" t="s">
        <v>24</v>
      </c>
      <c r="L530">
        <v>33</v>
      </c>
      <c r="M530" t="s">
        <v>41</v>
      </c>
      <c r="N530" t="s">
        <v>55</v>
      </c>
      <c r="O530">
        <v>32</v>
      </c>
      <c r="P530" t="s">
        <v>27</v>
      </c>
      <c r="Q530">
        <v>3</v>
      </c>
      <c r="R530">
        <v>199</v>
      </c>
    </row>
    <row r="531" spans="1:18" x14ac:dyDescent="0.3">
      <c r="A531" t="s">
        <v>590</v>
      </c>
      <c r="B531" s="1">
        <v>45539</v>
      </c>
      <c r="C531">
        <v>2024</v>
      </c>
      <c r="D531" t="s">
        <v>60</v>
      </c>
      <c r="E531" t="s">
        <v>52</v>
      </c>
      <c r="F531" t="s">
        <v>29</v>
      </c>
      <c r="G531">
        <v>32</v>
      </c>
      <c r="H531" t="s">
        <v>36</v>
      </c>
      <c r="I531" t="s">
        <v>23</v>
      </c>
      <c r="J531">
        <v>499</v>
      </c>
      <c r="K531" t="s">
        <v>57</v>
      </c>
      <c r="L531">
        <v>36</v>
      </c>
      <c r="M531" t="s">
        <v>31</v>
      </c>
      <c r="N531" t="s">
        <v>32</v>
      </c>
      <c r="O531">
        <v>2</v>
      </c>
      <c r="P531" t="s">
        <v>27</v>
      </c>
      <c r="Q531">
        <v>5</v>
      </c>
      <c r="R531">
        <v>499</v>
      </c>
    </row>
    <row r="532" spans="1:18" x14ac:dyDescent="0.3">
      <c r="A532" t="s">
        <v>591</v>
      </c>
      <c r="B532" s="1">
        <v>45483</v>
      </c>
      <c r="C532">
        <v>2024</v>
      </c>
      <c r="D532" t="s">
        <v>85</v>
      </c>
      <c r="E532" t="s">
        <v>20</v>
      </c>
      <c r="F532" t="s">
        <v>63</v>
      </c>
      <c r="G532">
        <v>28</v>
      </c>
      <c r="H532" t="s">
        <v>22</v>
      </c>
      <c r="I532" t="s">
        <v>23</v>
      </c>
      <c r="J532">
        <v>499</v>
      </c>
      <c r="K532" t="s">
        <v>67</v>
      </c>
      <c r="L532">
        <v>38</v>
      </c>
      <c r="M532" t="s">
        <v>45</v>
      </c>
      <c r="N532" t="s">
        <v>55</v>
      </c>
      <c r="O532">
        <v>9</v>
      </c>
      <c r="P532" t="s">
        <v>27</v>
      </c>
      <c r="Q532">
        <v>5</v>
      </c>
      <c r="R532">
        <v>499</v>
      </c>
    </row>
    <row r="533" spans="1:18" x14ac:dyDescent="0.3">
      <c r="A533" t="s">
        <v>592</v>
      </c>
      <c r="B533" s="1">
        <v>45516</v>
      </c>
      <c r="C533">
        <v>2024</v>
      </c>
      <c r="D533" t="s">
        <v>34</v>
      </c>
      <c r="E533" t="s">
        <v>35</v>
      </c>
      <c r="F533" t="s">
        <v>29</v>
      </c>
      <c r="G533">
        <v>27</v>
      </c>
      <c r="H533" t="s">
        <v>36</v>
      </c>
      <c r="I533" t="s">
        <v>23</v>
      </c>
      <c r="J533">
        <v>499</v>
      </c>
      <c r="K533" t="s">
        <v>49</v>
      </c>
      <c r="L533">
        <v>34</v>
      </c>
      <c r="M533" t="s">
        <v>25</v>
      </c>
      <c r="N533" t="s">
        <v>58</v>
      </c>
      <c r="O533">
        <v>36</v>
      </c>
      <c r="P533" t="s">
        <v>27</v>
      </c>
      <c r="Q533">
        <v>5</v>
      </c>
      <c r="R533">
        <v>499</v>
      </c>
    </row>
    <row r="534" spans="1:18" x14ac:dyDescent="0.3">
      <c r="A534" t="s">
        <v>593</v>
      </c>
      <c r="B534" s="1">
        <v>45104</v>
      </c>
      <c r="C534">
        <v>2023</v>
      </c>
      <c r="D534" t="s">
        <v>69</v>
      </c>
      <c r="E534" t="s">
        <v>20</v>
      </c>
      <c r="F534" t="s">
        <v>29</v>
      </c>
      <c r="G534">
        <v>49</v>
      </c>
      <c r="H534" t="s">
        <v>36</v>
      </c>
      <c r="I534" t="s">
        <v>37</v>
      </c>
      <c r="J534">
        <v>199</v>
      </c>
      <c r="K534" t="s">
        <v>44</v>
      </c>
      <c r="L534">
        <v>44</v>
      </c>
      <c r="M534" t="s">
        <v>31</v>
      </c>
      <c r="N534" t="s">
        <v>32</v>
      </c>
      <c r="O534">
        <v>39</v>
      </c>
      <c r="P534" t="s">
        <v>73</v>
      </c>
      <c r="Q534">
        <v>3</v>
      </c>
      <c r="R534">
        <v>0</v>
      </c>
    </row>
    <row r="535" spans="1:18" x14ac:dyDescent="0.3">
      <c r="A535" t="s">
        <v>594</v>
      </c>
      <c r="B535" s="1">
        <v>44641</v>
      </c>
      <c r="C535">
        <v>2022</v>
      </c>
      <c r="D535" t="s">
        <v>66</v>
      </c>
      <c r="E535" t="s">
        <v>52</v>
      </c>
      <c r="F535" t="s">
        <v>63</v>
      </c>
      <c r="G535">
        <v>19</v>
      </c>
      <c r="H535" t="s">
        <v>22</v>
      </c>
      <c r="I535" t="s">
        <v>23</v>
      </c>
      <c r="J535">
        <v>499</v>
      </c>
      <c r="K535" t="s">
        <v>30</v>
      </c>
      <c r="L535">
        <v>27</v>
      </c>
      <c r="M535" t="s">
        <v>41</v>
      </c>
      <c r="N535" t="s">
        <v>55</v>
      </c>
      <c r="O535">
        <v>24</v>
      </c>
      <c r="P535" t="s">
        <v>27</v>
      </c>
      <c r="Q535">
        <v>5</v>
      </c>
      <c r="R535">
        <v>499</v>
      </c>
    </row>
    <row r="536" spans="1:18" x14ac:dyDescent="0.3">
      <c r="A536" t="s">
        <v>595</v>
      </c>
      <c r="B536" s="1">
        <v>45649</v>
      </c>
      <c r="C536">
        <v>2024</v>
      </c>
      <c r="D536" t="s">
        <v>39</v>
      </c>
      <c r="E536" t="s">
        <v>35</v>
      </c>
      <c r="F536" t="s">
        <v>29</v>
      </c>
      <c r="G536">
        <v>33</v>
      </c>
      <c r="H536" t="s">
        <v>22</v>
      </c>
      <c r="I536" t="s">
        <v>48</v>
      </c>
      <c r="J536">
        <v>649</v>
      </c>
      <c r="K536" t="s">
        <v>30</v>
      </c>
      <c r="L536">
        <v>26</v>
      </c>
      <c r="M536" t="s">
        <v>45</v>
      </c>
      <c r="N536" t="s">
        <v>55</v>
      </c>
      <c r="O536">
        <v>41</v>
      </c>
      <c r="P536" t="s">
        <v>27</v>
      </c>
      <c r="Q536">
        <v>4</v>
      </c>
      <c r="R536">
        <v>649</v>
      </c>
    </row>
    <row r="537" spans="1:18" x14ac:dyDescent="0.3">
      <c r="A537" t="s">
        <v>596</v>
      </c>
      <c r="B537" s="1">
        <v>44744</v>
      </c>
      <c r="C537">
        <v>2022</v>
      </c>
      <c r="D537" t="s">
        <v>85</v>
      </c>
      <c r="E537" t="s">
        <v>20</v>
      </c>
      <c r="F537" t="s">
        <v>21</v>
      </c>
      <c r="G537">
        <v>21</v>
      </c>
      <c r="H537" t="s">
        <v>22</v>
      </c>
      <c r="I537" t="s">
        <v>37</v>
      </c>
      <c r="J537">
        <v>199</v>
      </c>
      <c r="K537" t="s">
        <v>53</v>
      </c>
      <c r="L537">
        <v>45</v>
      </c>
      <c r="M537" t="s">
        <v>45</v>
      </c>
      <c r="N537" t="s">
        <v>55</v>
      </c>
      <c r="O537">
        <v>43</v>
      </c>
      <c r="P537" t="s">
        <v>27</v>
      </c>
      <c r="Q537">
        <v>3</v>
      </c>
      <c r="R537">
        <v>199</v>
      </c>
    </row>
    <row r="538" spans="1:18" x14ac:dyDescent="0.3">
      <c r="A538" t="s">
        <v>597</v>
      </c>
      <c r="B538" s="1">
        <v>44922</v>
      </c>
      <c r="C538">
        <v>2022</v>
      </c>
      <c r="D538" t="s">
        <v>39</v>
      </c>
      <c r="E538" t="s">
        <v>43</v>
      </c>
      <c r="F538" t="s">
        <v>29</v>
      </c>
      <c r="G538">
        <v>25</v>
      </c>
      <c r="H538" t="s">
        <v>22</v>
      </c>
      <c r="I538" t="s">
        <v>23</v>
      </c>
      <c r="J538">
        <v>499</v>
      </c>
      <c r="K538" t="s">
        <v>30</v>
      </c>
      <c r="L538">
        <v>28</v>
      </c>
      <c r="M538" t="s">
        <v>41</v>
      </c>
      <c r="N538" t="s">
        <v>26</v>
      </c>
      <c r="O538">
        <v>41</v>
      </c>
      <c r="P538" t="s">
        <v>27</v>
      </c>
      <c r="Q538">
        <v>5</v>
      </c>
      <c r="R538">
        <v>499</v>
      </c>
    </row>
    <row r="539" spans="1:18" x14ac:dyDescent="0.3">
      <c r="A539" t="s">
        <v>598</v>
      </c>
      <c r="B539" s="1">
        <v>45376</v>
      </c>
      <c r="C539">
        <v>2024</v>
      </c>
      <c r="D539" t="s">
        <v>66</v>
      </c>
      <c r="E539" t="s">
        <v>20</v>
      </c>
      <c r="F539" t="s">
        <v>63</v>
      </c>
      <c r="G539">
        <v>34</v>
      </c>
      <c r="H539" t="s">
        <v>22</v>
      </c>
      <c r="I539" t="s">
        <v>37</v>
      </c>
      <c r="J539">
        <v>199</v>
      </c>
      <c r="K539" t="s">
        <v>75</v>
      </c>
      <c r="L539">
        <v>47</v>
      </c>
      <c r="M539" t="s">
        <v>45</v>
      </c>
      <c r="N539" t="s">
        <v>26</v>
      </c>
      <c r="O539">
        <v>12</v>
      </c>
      <c r="P539" t="s">
        <v>27</v>
      </c>
      <c r="Q539">
        <v>5</v>
      </c>
      <c r="R539">
        <v>199</v>
      </c>
    </row>
    <row r="540" spans="1:18" x14ac:dyDescent="0.3">
      <c r="A540" t="s">
        <v>599</v>
      </c>
      <c r="B540" s="1">
        <v>45744</v>
      </c>
      <c r="C540">
        <v>2025</v>
      </c>
      <c r="D540" t="s">
        <v>66</v>
      </c>
      <c r="E540" t="s">
        <v>20</v>
      </c>
      <c r="F540" t="s">
        <v>29</v>
      </c>
      <c r="G540">
        <v>41</v>
      </c>
      <c r="H540" t="s">
        <v>36</v>
      </c>
      <c r="I540" t="s">
        <v>37</v>
      </c>
      <c r="J540">
        <v>199</v>
      </c>
      <c r="K540" t="s">
        <v>44</v>
      </c>
      <c r="L540">
        <v>44</v>
      </c>
      <c r="M540" t="s">
        <v>31</v>
      </c>
      <c r="N540" t="s">
        <v>55</v>
      </c>
      <c r="O540">
        <v>13</v>
      </c>
      <c r="P540" t="s">
        <v>27</v>
      </c>
      <c r="Q540">
        <v>3</v>
      </c>
      <c r="R540">
        <v>199</v>
      </c>
    </row>
    <row r="541" spans="1:18" x14ac:dyDescent="0.3">
      <c r="A541" t="s">
        <v>600</v>
      </c>
      <c r="B541" s="1">
        <v>45249</v>
      </c>
      <c r="C541">
        <v>2023</v>
      </c>
      <c r="D541" t="s">
        <v>19</v>
      </c>
      <c r="E541" t="s">
        <v>43</v>
      </c>
      <c r="F541" t="s">
        <v>63</v>
      </c>
      <c r="G541">
        <v>40</v>
      </c>
      <c r="H541" t="s">
        <v>36</v>
      </c>
      <c r="I541" t="s">
        <v>37</v>
      </c>
      <c r="J541">
        <v>199</v>
      </c>
      <c r="K541" t="s">
        <v>67</v>
      </c>
      <c r="L541">
        <v>59</v>
      </c>
      <c r="M541" t="s">
        <v>41</v>
      </c>
      <c r="N541" t="s">
        <v>55</v>
      </c>
      <c r="O541">
        <v>35</v>
      </c>
      <c r="P541" t="s">
        <v>27</v>
      </c>
      <c r="Q541">
        <v>4</v>
      </c>
      <c r="R541">
        <v>199</v>
      </c>
    </row>
    <row r="542" spans="1:18" x14ac:dyDescent="0.3">
      <c r="A542" t="s">
        <v>601</v>
      </c>
      <c r="B542" s="1">
        <v>45578</v>
      </c>
      <c r="C542">
        <v>2024</v>
      </c>
      <c r="D542" t="s">
        <v>47</v>
      </c>
      <c r="E542" t="s">
        <v>43</v>
      </c>
      <c r="F542" t="s">
        <v>29</v>
      </c>
      <c r="G542">
        <v>24</v>
      </c>
      <c r="H542" t="s">
        <v>22</v>
      </c>
      <c r="I542" t="s">
        <v>37</v>
      </c>
      <c r="J542">
        <v>199</v>
      </c>
      <c r="K542" t="s">
        <v>49</v>
      </c>
      <c r="L542">
        <v>55</v>
      </c>
      <c r="M542" t="s">
        <v>25</v>
      </c>
      <c r="N542" t="s">
        <v>32</v>
      </c>
      <c r="O542">
        <v>13</v>
      </c>
      <c r="P542" t="s">
        <v>27</v>
      </c>
      <c r="Q542">
        <v>4</v>
      </c>
      <c r="R542">
        <v>199</v>
      </c>
    </row>
    <row r="543" spans="1:18" x14ac:dyDescent="0.3">
      <c r="A543" t="s">
        <v>602</v>
      </c>
      <c r="B543" s="1">
        <v>45434</v>
      </c>
      <c r="C543">
        <v>2024</v>
      </c>
      <c r="D543" t="s">
        <v>79</v>
      </c>
      <c r="E543" t="s">
        <v>43</v>
      </c>
      <c r="F543" t="s">
        <v>63</v>
      </c>
      <c r="G543">
        <v>20</v>
      </c>
      <c r="H543" t="s">
        <v>22</v>
      </c>
      <c r="I543" t="s">
        <v>23</v>
      </c>
      <c r="J543">
        <v>499</v>
      </c>
      <c r="K543" t="s">
        <v>67</v>
      </c>
      <c r="L543">
        <v>59</v>
      </c>
      <c r="M543" t="s">
        <v>45</v>
      </c>
      <c r="N543" t="s">
        <v>32</v>
      </c>
      <c r="O543">
        <v>23</v>
      </c>
      <c r="P543" t="s">
        <v>27</v>
      </c>
      <c r="Q543">
        <v>3</v>
      </c>
      <c r="R543">
        <v>499</v>
      </c>
    </row>
    <row r="544" spans="1:18" x14ac:dyDescent="0.3">
      <c r="A544" t="s">
        <v>603</v>
      </c>
      <c r="B544" s="1">
        <v>45090</v>
      </c>
      <c r="C544">
        <v>2023</v>
      </c>
      <c r="D544" t="s">
        <v>69</v>
      </c>
      <c r="E544" t="s">
        <v>43</v>
      </c>
      <c r="F544" t="s">
        <v>29</v>
      </c>
      <c r="G544">
        <v>51</v>
      </c>
      <c r="H544" t="s">
        <v>22</v>
      </c>
      <c r="I544" t="s">
        <v>23</v>
      </c>
      <c r="J544">
        <v>499</v>
      </c>
      <c r="K544" t="s">
        <v>57</v>
      </c>
      <c r="L544">
        <v>39</v>
      </c>
      <c r="M544" t="s">
        <v>31</v>
      </c>
      <c r="N544" t="s">
        <v>26</v>
      </c>
      <c r="O544">
        <v>36</v>
      </c>
      <c r="P544" t="s">
        <v>27</v>
      </c>
      <c r="Q544">
        <v>5</v>
      </c>
      <c r="R544">
        <v>499</v>
      </c>
    </row>
    <row r="545" spans="1:18" x14ac:dyDescent="0.3">
      <c r="A545" t="s">
        <v>604</v>
      </c>
      <c r="B545" s="1">
        <v>45330</v>
      </c>
      <c r="C545">
        <v>2024</v>
      </c>
      <c r="D545" t="s">
        <v>111</v>
      </c>
      <c r="E545" t="s">
        <v>20</v>
      </c>
      <c r="F545" t="s">
        <v>63</v>
      </c>
      <c r="G545">
        <v>37</v>
      </c>
      <c r="H545" t="s">
        <v>22</v>
      </c>
      <c r="I545" t="s">
        <v>23</v>
      </c>
      <c r="J545">
        <v>499</v>
      </c>
      <c r="K545" t="s">
        <v>53</v>
      </c>
      <c r="L545">
        <v>27</v>
      </c>
      <c r="M545" t="s">
        <v>31</v>
      </c>
      <c r="N545" t="s">
        <v>58</v>
      </c>
      <c r="O545">
        <v>21</v>
      </c>
      <c r="P545" t="s">
        <v>27</v>
      </c>
      <c r="Q545">
        <v>3</v>
      </c>
      <c r="R545">
        <v>499</v>
      </c>
    </row>
    <row r="546" spans="1:18" x14ac:dyDescent="0.3">
      <c r="A546" t="s">
        <v>605</v>
      </c>
      <c r="B546" s="1">
        <v>44781</v>
      </c>
      <c r="C546">
        <v>2022</v>
      </c>
      <c r="D546" t="s">
        <v>34</v>
      </c>
      <c r="E546" t="s">
        <v>52</v>
      </c>
      <c r="F546" t="s">
        <v>63</v>
      </c>
      <c r="G546">
        <v>25</v>
      </c>
      <c r="H546" t="s">
        <v>22</v>
      </c>
      <c r="I546" t="s">
        <v>37</v>
      </c>
      <c r="J546">
        <v>199</v>
      </c>
      <c r="K546" t="s">
        <v>24</v>
      </c>
      <c r="L546">
        <v>43</v>
      </c>
      <c r="M546" t="s">
        <v>45</v>
      </c>
      <c r="N546" t="s">
        <v>55</v>
      </c>
      <c r="O546">
        <v>9</v>
      </c>
      <c r="P546" t="s">
        <v>27</v>
      </c>
      <c r="Q546">
        <v>4</v>
      </c>
      <c r="R546">
        <v>199</v>
      </c>
    </row>
    <row r="547" spans="1:18" x14ac:dyDescent="0.3">
      <c r="A547" t="s">
        <v>606</v>
      </c>
      <c r="B547" s="1">
        <v>45173</v>
      </c>
      <c r="C547">
        <v>2023</v>
      </c>
      <c r="D547" t="s">
        <v>60</v>
      </c>
      <c r="E547" t="s">
        <v>20</v>
      </c>
      <c r="F547" t="s">
        <v>29</v>
      </c>
      <c r="G547">
        <v>54</v>
      </c>
      <c r="H547" t="s">
        <v>36</v>
      </c>
      <c r="I547" t="s">
        <v>23</v>
      </c>
      <c r="J547">
        <v>499</v>
      </c>
      <c r="K547" t="s">
        <v>44</v>
      </c>
      <c r="L547">
        <v>51</v>
      </c>
      <c r="M547" t="s">
        <v>31</v>
      </c>
      <c r="N547" t="s">
        <v>55</v>
      </c>
      <c r="O547">
        <v>4</v>
      </c>
      <c r="P547" t="s">
        <v>73</v>
      </c>
      <c r="Q547">
        <v>5</v>
      </c>
      <c r="R547">
        <v>0</v>
      </c>
    </row>
    <row r="548" spans="1:18" x14ac:dyDescent="0.3">
      <c r="A548" t="s">
        <v>607</v>
      </c>
      <c r="B548" s="1">
        <v>45443</v>
      </c>
      <c r="C548">
        <v>2024</v>
      </c>
      <c r="D548" t="s">
        <v>79</v>
      </c>
      <c r="E548" t="s">
        <v>43</v>
      </c>
      <c r="F548" t="s">
        <v>63</v>
      </c>
      <c r="G548">
        <v>48</v>
      </c>
      <c r="H548" t="s">
        <v>36</v>
      </c>
      <c r="I548" t="s">
        <v>37</v>
      </c>
      <c r="J548">
        <v>199</v>
      </c>
      <c r="K548" t="s">
        <v>57</v>
      </c>
      <c r="L548">
        <v>29</v>
      </c>
      <c r="M548" t="s">
        <v>31</v>
      </c>
      <c r="N548" t="s">
        <v>32</v>
      </c>
      <c r="O548">
        <v>16</v>
      </c>
      <c r="P548" t="s">
        <v>27</v>
      </c>
      <c r="Q548">
        <v>5</v>
      </c>
      <c r="R548">
        <v>199</v>
      </c>
    </row>
    <row r="549" spans="1:18" x14ac:dyDescent="0.3">
      <c r="A549" t="s">
        <v>608</v>
      </c>
      <c r="B549" s="1">
        <v>44871</v>
      </c>
      <c r="C549">
        <v>2022</v>
      </c>
      <c r="D549" t="s">
        <v>19</v>
      </c>
      <c r="E549" t="s">
        <v>35</v>
      </c>
      <c r="F549" t="s">
        <v>63</v>
      </c>
      <c r="G549">
        <v>44</v>
      </c>
      <c r="H549" t="s">
        <v>36</v>
      </c>
      <c r="I549" t="s">
        <v>23</v>
      </c>
      <c r="J549">
        <v>499</v>
      </c>
      <c r="K549" t="s">
        <v>24</v>
      </c>
      <c r="L549">
        <v>49</v>
      </c>
      <c r="M549" t="s">
        <v>45</v>
      </c>
      <c r="N549" t="s">
        <v>55</v>
      </c>
      <c r="O549">
        <v>46</v>
      </c>
      <c r="P549" t="s">
        <v>27</v>
      </c>
      <c r="Q549">
        <v>3</v>
      </c>
      <c r="R549">
        <v>499</v>
      </c>
    </row>
    <row r="550" spans="1:18" x14ac:dyDescent="0.3">
      <c r="A550" t="s">
        <v>609</v>
      </c>
      <c r="B550" s="1">
        <v>45993</v>
      </c>
      <c r="C550">
        <v>2025</v>
      </c>
      <c r="D550" t="s">
        <v>39</v>
      </c>
      <c r="E550" t="s">
        <v>35</v>
      </c>
      <c r="F550" t="s">
        <v>63</v>
      </c>
      <c r="G550">
        <v>29</v>
      </c>
      <c r="H550" t="s">
        <v>36</v>
      </c>
      <c r="I550" t="s">
        <v>23</v>
      </c>
      <c r="J550">
        <v>499</v>
      </c>
      <c r="K550" t="s">
        <v>53</v>
      </c>
      <c r="L550">
        <v>43</v>
      </c>
      <c r="M550" t="s">
        <v>45</v>
      </c>
      <c r="N550" t="s">
        <v>32</v>
      </c>
      <c r="O550">
        <v>33</v>
      </c>
      <c r="P550" t="s">
        <v>27</v>
      </c>
      <c r="Q550">
        <v>3</v>
      </c>
      <c r="R550">
        <v>499</v>
      </c>
    </row>
    <row r="551" spans="1:18" x14ac:dyDescent="0.3">
      <c r="A551" t="s">
        <v>610</v>
      </c>
      <c r="B551" s="1">
        <v>45968</v>
      </c>
      <c r="C551">
        <v>2025</v>
      </c>
      <c r="D551" t="s">
        <v>19</v>
      </c>
      <c r="E551" t="s">
        <v>20</v>
      </c>
      <c r="F551" t="s">
        <v>21</v>
      </c>
      <c r="G551">
        <v>42</v>
      </c>
      <c r="H551" t="s">
        <v>22</v>
      </c>
      <c r="I551" t="s">
        <v>37</v>
      </c>
      <c r="J551">
        <v>199</v>
      </c>
      <c r="K551" t="s">
        <v>30</v>
      </c>
      <c r="L551">
        <v>56</v>
      </c>
      <c r="M551" t="s">
        <v>31</v>
      </c>
      <c r="N551" t="s">
        <v>55</v>
      </c>
      <c r="O551">
        <v>40</v>
      </c>
      <c r="P551" t="s">
        <v>27</v>
      </c>
      <c r="Q551">
        <v>5</v>
      </c>
      <c r="R551">
        <v>199</v>
      </c>
    </row>
    <row r="552" spans="1:18" x14ac:dyDescent="0.3">
      <c r="A552" t="s">
        <v>611</v>
      </c>
      <c r="B552" s="1">
        <v>45907</v>
      </c>
      <c r="C552">
        <v>2025</v>
      </c>
      <c r="D552" t="s">
        <v>60</v>
      </c>
      <c r="E552" t="s">
        <v>20</v>
      </c>
      <c r="F552" t="s">
        <v>29</v>
      </c>
      <c r="G552">
        <v>26</v>
      </c>
      <c r="H552" t="s">
        <v>22</v>
      </c>
      <c r="I552" t="s">
        <v>37</v>
      </c>
      <c r="J552">
        <v>199</v>
      </c>
      <c r="K552" t="s">
        <v>40</v>
      </c>
      <c r="L552">
        <v>44</v>
      </c>
      <c r="M552" t="s">
        <v>31</v>
      </c>
      <c r="N552" t="s">
        <v>26</v>
      </c>
      <c r="O552">
        <v>14</v>
      </c>
      <c r="P552" t="s">
        <v>27</v>
      </c>
      <c r="Q552">
        <v>4</v>
      </c>
      <c r="R552">
        <v>199</v>
      </c>
    </row>
    <row r="553" spans="1:18" x14ac:dyDescent="0.3">
      <c r="A553" t="s">
        <v>612</v>
      </c>
      <c r="B553" s="1">
        <v>45903</v>
      </c>
      <c r="C553">
        <v>2025</v>
      </c>
      <c r="D553" t="s">
        <v>60</v>
      </c>
      <c r="E553" t="s">
        <v>52</v>
      </c>
      <c r="F553" t="s">
        <v>29</v>
      </c>
      <c r="G553">
        <v>49</v>
      </c>
      <c r="H553" t="s">
        <v>22</v>
      </c>
      <c r="I553" t="s">
        <v>37</v>
      </c>
      <c r="J553">
        <v>199</v>
      </c>
      <c r="K553" t="s">
        <v>24</v>
      </c>
      <c r="L553">
        <v>45</v>
      </c>
      <c r="M553" t="s">
        <v>25</v>
      </c>
      <c r="N553" t="s">
        <v>32</v>
      </c>
      <c r="O553">
        <v>47</v>
      </c>
      <c r="P553" t="s">
        <v>27</v>
      </c>
      <c r="Q553">
        <v>4</v>
      </c>
      <c r="R553">
        <v>199</v>
      </c>
    </row>
    <row r="554" spans="1:18" x14ac:dyDescent="0.3">
      <c r="A554" t="s">
        <v>613</v>
      </c>
      <c r="B554" s="1">
        <v>46000</v>
      </c>
      <c r="C554">
        <v>2025</v>
      </c>
      <c r="D554" t="s">
        <v>39</v>
      </c>
      <c r="E554" t="s">
        <v>35</v>
      </c>
      <c r="F554" t="s">
        <v>21</v>
      </c>
      <c r="G554">
        <v>44</v>
      </c>
      <c r="H554" t="s">
        <v>22</v>
      </c>
      <c r="I554" t="s">
        <v>48</v>
      </c>
      <c r="J554">
        <v>649</v>
      </c>
      <c r="K554" t="s">
        <v>75</v>
      </c>
      <c r="L554">
        <v>35</v>
      </c>
      <c r="M554" t="s">
        <v>41</v>
      </c>
      <c r="N554" t="s">
        <v>55</v>
      </c>
      <c r="O554">
        <v>45</v>
      </c>
      <c r="P554" t="s">
        <v>27</v>
      </c>
      <c r="Q554">
        <v>4</v>
      </c>
      <c r="R554">
        <v>649</v>
      </c>
    </row>
    <row r="555" spans="1:18" x14ac:dyDescent="0.3">
      <c r="A555" t="s">
        <v>614</v>
      </c>
      <c r="B555" s="1">
        <v>44924</v>
      </c>
      <c r="C555">
        <v>2022</v>
      </c>
      <c r="D555" t="s">
        <v>39</v>
      </c>
      <c r="E555" t="s">
        <v>20</v>
      </c>
      <c r="F555" t="s">
        <v>29</v>
      </c>
      <c r="G555">
        <v>47</v>
      </c>
      <c r="H555" t="s">
        <v>22</v>
      </c>
      <c r="I555" t="s">
        <v>48</v>
      </c>
      <c r="J555">
        <v>649</v>
      </c>
      <c r="K555" t="s">
        <v>40</v>
      </c>
      <c r="L555">
        <v>42</v>
      </c>
      <c r="M555" t="s">
        <v>31</v>
      </c>
      <c r="N555" t="s">
        <v>58</v>
      </c>
      <c r="O555">
        <v>11</v>
      </c>
      <c r="P555" t="s">
        <v>27</v>
      </c>
      <c r="Q555">
        <v>5</v>
      </c>
      <c r="R555">
        <v>649</v>
      </c>
    </row>
    <row r="556" spans="1:18" x14ac:dyDescent="0.3">
      <c r="A556" t="s">
        <v>615</v>
      </c>
      <c r="B556" s="1">
        <v>44749</v>
      </c>
      <c r="C556">
        <v>2022</v>
      </c>
      <c r="D556" t="s">
        <v>85</v>
      </c>
      <c r="E556" t="s">
        <v>35</v>
      </c>
      <c r="F556" t="s">
        <v>21</v>
      </c>
      <c r="G556">
        <v>21</v>
      </c>
      <c r="H556" t="s">
        <v>36</v>
      </c>
      <c r="I556" t="s">
        <v>48</v>
      </c>
      <c r="J556">
        <v>649</v>
      </c>
      <c r="K556" t="s">
        <v>67</v>
      </c>
      <c r="L556">
        <v>40</v>
      </c>
      <c r="M556" t="s">
        <v>45</v>
      </c>
      <c r="N556" t="s">
        <v>32</v>
      </c>
      <c r="O556">
        <v>31</v>
      </c>
      <c r="P556" t="s">
        <v>27</v>
      </c>
      <c r="Q556">
        <v>4</v>
      </c>
      <c r="R556">
        <v>649</v>
      </c>
    </row>
    <row r="557" spans="1:18" x14ac:dyDescent="0.3">
      <c r="A557" t="s">
        <v>616</v>
      </c>
      <c r="B557" s="1">
        <v>45101</v>
      </c>
      <c r="C557">
        <v>2023</v>
      </c>
      <c r="D557" t="s">
        <v>69</v>
      </c>
      <c r="E557" t="s">
        <v>52</v>
      </c>
      <c r="F557" t="s">
        <v>63</v>
      </c>
      <c r="G557">
        <v>19</v>
      </c>
      <c r="H557" t="s">
        <v>22</v>
      </c>
      <c r="I557" t="s">
        <v>23</v>
      </c>
      <c r="J557">
        <v>499</v>
      </c>
      <c r="K557" t="s">
        <v>30</v>
      </c>
      <c r="L557">
        <v>30</v>
      </c>
      <c r="M557" t="s">
        <v>25</v>
      </c>
      <c r="N557" t="s">
        <v>26</v>
      </c>
      <c r="O557">
        <v>46</v>
      </c>
      <c r="P557" t="s">
        <v>27</v>
      </c>
      <c r="Q557">
        <v>4</v>
      </c>
      <c r="R557">
        <v>499</v>
      </c>
    </row>
    <row r="558" spans="1:18" x14ac:dyDescent="0.3">
      <c r="A558" t="s">
        <v>617</v>
      </c>
      <c r="B558" s="1">
        <v>45911</v>
      </c>
      <c r="C558">
        <v>2025</v>
      </c>
      <c r="D558" t="s">
        <v>60</v>
      </c>
      <c r="E558" t="s">
        <v>43</v>
      </c>
      <c r="F558" t="s">
        <v>63</v>
      </c>
      <c r="G558">
        <v>32</v>
      </c>
      <c r="H558" t="s">
        <v>36</v>
      </c>
      <c r="I558" t="s">
        <v>37</v>
      </c>
      <c r="J558">
        <v>199</v>
      </c>
      <c r="K558" t="s">
        <v>30</v>
      </c>
      <c r="L558">
        <v>58</v>
      </c>
      <c r="M558" t="s">
        <v>41</v>
      </c>
      <c r="N558" t="s">
        <v>58</v>
      </c>
      <c r="O558">
        <v>40</v>
      </c>
      <c r="P558" t="s">
        <v>27</v>
      </c>
      <c r="Q558">
        <v>3</v>
      </c>
      <c r="R558">
        <v>199</v>
      </c>
    </row>
    <row r="559" spans="1:18" x14ac:dyDescent="0.3">
      <c r="A559" t="s">
        <v>618</v>
      </c>
      <c r="B559" s="1">
        <v>44895</v>
      </c>
      <c r="C559">
        <v>2022</v>
      </c>
      <c r="D559" t="s">
        <v>19</v>
      </c>
      <c r="E559" t="s">
        <v>35</v>
      </c>
      <c r="F559" t="s">
        <v>63</v>
      </c>
      <c r="G559">
        <v>30</v>
      </c>
      <c r="H559" t="s">
        <v>36</v>
      </c>
      <c r="I559" t="s">
        <v>37</v>
      </c>
      <c r="J559">
        <v>199</v>
      </c>
      <c r="K559" t="s">
        <v>49</v>
      </c>
      <c r="L559">
        <v>43</v>
      </c>
      <c r="M559" t="s">
        <v>25</v>
      </c>
      <c r="N559" t="s">
        <v>32</v>
      </c>
      <c r="O559">
        <v>12</v>
      </c>
      <c r="P559" t="s">
        <v>27</v>
      </c>
      <c r="Q559">
        <v>3</v>
      </c>
      <c r="R559">
        <v>199</v>
      </c>
    </row>
    <row r="560" spans="1:18" x14ac:dyDescent="0.3">
      <c r="A560" t="s">
        <v>619</v>
      </c>
      <c r="B560" s="1">
        <v>44607</v>
      </c>
      <c r="C560">
        <v>2022</v>
      </c>
      <c r="D560" t="s">
        <v>111</v>
      </c>
      <c r="E560" t="s">
        <v>35</v>
      </c>
      <c r="F560" t="s">
        <v>21</v>
      </c>
      <c r="G560">
        <v>48</v>
      </c>
      <c r="H560" t="s">
        <v>22</v>
      </c>
      <c r="I560" t="s">
        <v>37</v>
      </c>
      <c r="J560">
        <v>199</v>
      </c>
      <c r="K560" t="s">
        <v>53</v>
      </c>
      <c r="L560">
        <v>27</v>
      </c>
      <c r="M560" t="s">
        <v>41</v>
      </c>
      <c r="N560" t="s">
        <v>32</v>
      </c>
      <c r="O560">
        <v>16</v>
      </c>
      <c r="P560" t="s">
        <v>27</v>
      </c>
      <c r="Q560">
        <v>5</v>
      </c>
      <c r="R560">
        <v>199</v>
      </c>
    </row>
    <row r="561" spans="1:18" x14ac:dyDescent="0.3">
      <c r="A561" t="s">
        <v>620</v>
      </c>
      <c r="B561" s="1">
        <v>45051</v>
      </c>
      <c r="C561">
        <v>2023</v>
      </c>
      <c r="D561" t="s">
        <v>79</v>
      </c>
      <c r="E561" t="s">
        <v>20</v>
      </c>
      <c r="F561" t="s">
        <v>21</v>
      </c>
      <c r="G561">
        <v>47</v>
      </c>
      <c r="H561" t="s">
        <v>36</v>
      </c>
      <c r="I561" t="s">
        <v>48</v>
      </c>
      <c r="J561">
        <v>649</v>
      </c>
      <c r="K561" t="s">
        <v>44</v>
      </c>
      <c r="L561">
        <v>29</v>
      </c>
      <c r="M561" t="s">
        <v>45</v>
      </c>
      <c r="N561" t="s">
        <v>26</v>
      </c>
      <c r="O561">
        <v>44</v>
      </c>
      <c r="P561" t="s">
        <v>27</v>
      </c>
      <c r="Q561">
        <v>3</v>
      </c>
      <c r="R561">
        <v>649</v>
      </c>
    </row>
    <row r="562" spans="1:18" x14ac:dyDescent="0.3">
      <c r="A562" t="s">
        <v>621</v>
      </c>
      <c r="B562" s="1">
        <v>45073</v>
      </c>
      <c r="C562">
        <v>2023</v>
      </c>
      <c r="D562" t="s">
        <v>79</v>
      </c>
      <c r="E562" t="s">
        <v>20</v>
      </c>
      <c r="F562" t="s">
        <v>63</v>
      </c>
      <c r="G562">
        <v>23</v>
      </c>
      <c r="H562" t="s">
        <v>22</v>
      </c>
      <c r="I562" t="s">
        <v>37</v>
      </c>
      <c r="J562">
        <v>199</v>
      </c>
      <c r="K562" t="s">
        <v>49</v>
      </c>
      <c r="L562">
        <v>50</v>
      </c>
      <c r="M562" t="s">
        <v>45</v>
      </c>
      <c r="N562" t="s">
        <v>58</v>
      </c>
      <c r="O562">
        <v>31</v>
      </c>
      <c r="P562" t="s">
        <v>27</v>
      </c>
      <c r="Q562">
        <v>5</v>
      </c>
      <c r="R562">
        <v>199</v>
      </c>
    </row>
    <row r="563" spans="1:18" x14ac:dyDescent="0.3">
      <c r="A563" t="s">
        <v>622</v>
      </c>
      <c r="B563" s="1">
        <v>45043</v>
      </c>
      <c r="C563">
        <v>2023</v>
      </c>
      <c r="D563" t="s">
        <v>51</v>
      </c>
      <c r="E563" t="s">
        <v>43</v>
      </c>
      <c r="F563" t="s">
        <v>63</v>
      </c>
      <c r="G563">
        <v>31</v>
      </c>
      <c r="H563" t="s">
        <v>36</v>
      </c>
      <c r="I563" t="s">
        <v>48</v>
      </c>
      <c r="J563">
        <v>649</v>
      </c>
      <c r="K563" t="s">
        <v>75</v>
      </c>
      <c r="L563">
        <v>35</v>
      </c>
      <c r="M563" t="s">
        <v>31</v>
      </c>
      <c r="N563" t="s">
        <v>26</v>
      </c>
      <c r="O563">
        <v>14</v>
      </c>
      <c r="P563" t="s">
        <v>27</v>
      </c>
      <c r="Q563">
        <v>5</v>
      </c>
      <c r="R563">
        <v>649</v>
      </c>
    </row>
    <row r="564" spans="1:18" x14ac:dyDescent="0.3">
      <c r="A564" t="s">
        <v>623</v>
      </c>
      <c r="B564" s="1">
        <v>45552</v>
      </c>
      <c r="C564">
        <v>2024</v>
      </c>
      <c r="D564" t="s">
        <v>60</v>
      </c>
      <c r="E564" t="s">
        <v>20</v>
      </c>
      <c r="F564" t="s">
        <v>63</v>
      </c>
      <c r="G564">
        <v>24</v>
      </c>
      <c r="H564" t="s">
        <v>22</v>
      </c>
      <c r="I564" t="s">
        <v>48</v>
      </c>
      <c r="J564">
        <v>649</v>
      </c>
      <c r="K564" t="s">
        <v>44</v>
      </c>
      <c r="L564">
        <v>25</v>
      </c>
      <c r="M564" t="s">
        <v>31</v>
      </c>
      <c r="N564" t="s">
        <v>55</v>
      </c>
      <c r="O564">
        <v>46</v>
      </c>
      <c r="P564" t="s">
        <v>27</v>
      </c>
      <c r="Q564">
        <v>4</v>
      </c>
      <c r="R564">
        <v>649</v>
      </c>
    </row>
    <row r="565" spans="1:18" x14ac:dyDescent="0.3">
      <c r="A565" t="s">
        <v>624</v>
      </c>
      <c r="B565" s="1">
        <v>44850</v>
      </c>
      <c r="C565">
        <v>2022</v>
      </c>
      <c r="D565" t="s">
        <v>47</v>
      </c>
      <c r="E565" t="s">
        <v>20</v>
      </c>
      <c r="F565" t="s">
        <v>63</v>
      </c>
      <c r="G565">
        <v>44</v>
      </c>
      <c r="H565" t="s">
        <v>36</v>
      </c>
      <c r="I565" t="s">
        <v>48</v>
      </c>
      <c r="J565">
        <v>649</v>
      </c>
      <c r="K565" t="s">
        <v>24</v>
      </c>
      <c r="L565">
        <v>54</v>
      </c>
      <c r="M565" t="s">
        <v>45</v>
      </c>
      <c r="N565" t="s">
        <v>26</v>
      </c>
      <c r="O565">
        <v>24</v>
      </c>
      <c r="P565" t="s">
        <v>27</v>
      </c>
      <c r="Q565">
        <v>4</v>
      </c>
      <c r="R565">
        <v>649</v>
      </c>
    </row>
    <row r="566" spans="1:18" x14ac:dyDescent="0.3">
      <c r="A566" t="s">
        <v>625</v>
      </c>
      <c r="B566" s="1">
        <v>45902</v>
      </c>
      <c r="C566">
        <v>2025</v>
      </c>
      <c r="D566" t="s">
        <v>60</v>
      </c>
      <c r="E566" t="s">
        <v>35</v>
      </c>
      <c r="F566" t="s">
        <v>21</v>
      </c>
      <c r="G566">
        <v>36</v>
      </c>
      <c r="H566" t="s">
        <v>22</v>
      </c>
      <c r="I566" t="s">
        <v>48</v>
      </c>
      <c r="J566">
        <v>649</v>
      </c>
      <c r="K566" t="s">
        <v>67</v>
      </c>
      <c r="L566">
        <v>48</v>
      </c>
      <c r="M566" t="s">
        <v>45</v>
      </c>
      <c r="N566" t="s">
        <v>58</v>
      </c>
      <c r="O566">
        <v>37</v>
      </c>
      <c r="P566" t="s">
        <v>27</v>
      </c>
      <c r="Q566">
        <v>3</v>
      </c>
      <c r="R566">
        <v>649</v>
      </c>
    </row>
    <row r="567" spans="1:18" x14ac:dyDescent="0.3">
      <c r="A567" t="s">
        <v>626</v>
      </c>
      <c r="B567" s="1">
        <v>44978</v>
      </c>
      <c r="C567">
        <v>2023</v>
      </c>
      <c r="D567" t="s">
        <v>111</v>
      </c>
      <c r="E567" t="s">
        <v>20</v>
      </c>
      <c r="F567" t="s">
        <v>63</v>
      </c>
      <c r="G567">
        <v>27</v>
      </c>
      <c r="H567" t="s">
        <v>36</v>
      </c>
      <c r="I567" t="s">
        <v>23</v>
      </c>
      <c r="J567">
        <v>499</v>
      </c>
      <c r="K567" t="s">
        <v>40</v>
      </c>
      <c r="L567">
        <v>44</v>
      </c>
      <c r="M567" t="s">
        <v>41</v>
      </c>
      <c r="N567" t="s">
        <v>26</v>
      </c>
      <c r="O567">
        <v>16</v>
      </c>
      <c r="P567" t="s">
        <v>27</v>
      </c>
      <c r="Q567">
        <v>3</v>
      </c>
      <c r="R567">
        <v>499</v>
      </c>
    </row>
    <row r="568" spans="1:18" x14ac:dyDescent="0.3">
      <c r="A568" t="s">
        <v>627</v>
      </c>
      <c r="B568" s="1">
        <v>45629</v>
      </c>
      <c r="C568">
        <v>2024</v>
      </c>
      <c r="D568" t="s">
        <v>39</v>
      </c>
      <c r="E568" t="s">
        <v>20</v>
      </c>
      <c r="F568" t="s">
        <v>21</v>
      </c>
      <c r="G568">
        <v>48</v>
      </c>
      <c r="H568" t="s">
        <v>36</v>
      </c>
      <c r="I568" t="s">
        <v>23</v>
      </c>
      <c r="J568">
        <v>499</v>
      </c>
      <c r="K568" t="s">
        <v>53</v>
      </c>
      <c r="L568">
        <v>26</v>
      </c>
      <c r="M568" t="s">
        <v>45</v>
      </c>
      <c r="N568" t="s">
        <v>32</v>
      </c>
      <c r="O568">
        <v>27</v>
      </c>
      <c r="P568" t="s">
        <v>27</v>
      </c>
      <c r="Q568">
        <v>4</v>
      </c>
      <c r="R568">
        <v>499</v>
      </c>
    </row>
    <row r="569" spans="1:18" x14ac:dyDescent="0.3">
      <c r="A569" t="s">
        <v>628</v>
      </c>
      <c r="B569" s="1">
        <v>44989</v>
      </c>
      <c r="C569">
        <v>2023</v>
      </c>
      <c r="D569" t="s">
        <v>66</v>
      </c>
      <c r="E569" t="s">
        <v>20</v>
      </c>
      <c r="F569" t="s">
        <v>29</v>
      </c>
      <c r="G569">
        <v>45</v>
      </c>
      <c r="H569" t="s">
        <v>22</v>
      </c>
      <c r="I569" t="s">
        <v>37</v>
      </c>
      <c r="J569">
        <v>199</v>
      </c>
      <c r="K569" t="s">
        <v>67</v>
      </c>
      <c r="L569">
        <v>28</v>
      </c>
      <c r="M569" t="s">
        <v>31</v>
      </c>
      <c r="N569" t="s">
        <v>26</v>
      </c>
      <c r="O569">
        <v>20</v>
      </c>
      <c r="P569" t="s">
        <v>27</v>
      </c>
      <c r="Q569">
        <v>4</v>
      </c>
      <c r="R569">
        <v>199</v>
      </c>
    </row>
    <row r="570" spans="1:18" x14ac:dyDescent="0.3">
      <c r="A570" t="s">
        <v>629</v>
      </c>
      <c r="B570" s="1">
        <v>44567</v>
      </c>
      <c r="C570">
        <v>2022</v>
      </c>
      <c r="D570" t="s">
        <v>62</v>
      </c>
      <c r="E570" t="s">
        <v>43</v>
      </c>
      <c r="F570" t="s">
        <v>29</v>
      </c>
      <c r="G570">
        <v>39</v>
      </c>
      <c r="H570" t="s">
        <v>22</v>
      </c>
      <c r="I570" t="s">
        <v>48</v>
      </c>
      <c r="J570">
        <v>649</v>
      </c>
      <c r="K570" t="s">
        <v>67</v>
      </c>
      <c r="L570">
        <v>48</v>
      </c>
      <c r="M570" t="s">
        <v>25</v>
      </c>
      <c r="N570" t="s">
        <v>26</v>
      </c>
      <c r="O570">
        <v>25</v>
      </c>
      <c r="P570" t="s">
        <v>27</v>
      </c>
      <c r="Q570">
        <v>3</v>
      </c>
      <c r="R570">
        <v>649</v>
      </c>
    </row>
    <row r="571" spans="1:18" x14ac:dyDescent="0.3">
      <c r="A571" t="s">
        <v>630</v>
      </c>
      <c r="B571" s="1">
        <v>45160</v>
      </c>
      <c r="C571">
        <v>2023</v>
      </c>
      <c r="D571" t="s">
        <v>34</v>
      </c>
      <c r="E571" t="s">
        <v>52</v>
      </c>
      <c r="F571" t="s">
        <v>63</v>
      </c>
      <c r="G571">
        <v>25</v>
      </c>
      <c r="H571" t="s">
        <v>22</v>
      </c>
      <c r="I571" t="s">
        <v>48</v>
      </c>
      <c r="J571">
        <v>649</v>
      </c>
      <c r="K571" t="s">
        <v>44</v>
      </c>
      <c r="L571">
        <v>20</v>
      </c>
      <c r="M571" t="s">
        <v>41</v>
      </c>
      <c r="N571" t="s">
        <v>26</v>
      </c>
      <c r="O571">
        <v>19</v>
      </c>
      <c r="P571" t="s">
        <v>27</v>
      </c>
      <c r="Q571">
        <v>4</v>
      </c>
      <c r="R571">
        <v>649</v>
      </c>
    </row>
    <row r="572" spans="1:18" x14ac:dyDescent="0.3">
      <c r="A572" t="s">
        <v>631</v>
      </c>
      <c r="B572" s="1">
        <v>45037</v>
      </c>
      <c r="C572">
        <v>2023</v>
      </c>
      <c r="D572" t="s">
        <v>51</v>
      </c>
      <c r="E572" t="s">
        <v>20</v>
      </c>
      <c r="F572" t="s">
        <v>21</v>
      </c>
      <c r="G572">
        <v>40</v>
      </c>
      <c r="H572" t="s">
        <v>36</v>
      </c>
      <c r="I572" t="s">
        <v>23</v>
      </c>
      <c r="J572">
        <v>499</v>
      </c>
      <c r="K572" t="s">
        <v>49</v>
      </c>
      <c r="L572">
        <v>36</v>
      </c>
      <c r="M572" t="s">
        <v>25</v>
      </c>
      <c r="N572" t="s">
        <v>26</v>
      </c>
      <c r="O572">
        <v>11</v>
      </c>
      <c r="P572" t="s">
        <v>73</v>
      </c>
      <c r="Q572">
        <v>5</v>
      </c>
      <c r="R572">
        <v>0</v>
      </c>
    </row>
    <row r="573" spans="1:18" x14ac:dyDescent="0.3">
      <c r="A573" t="s">
        <v>632</v>
      </c>
      <c r="B573" s="1">
        <v>45139</v>
      </c>
      <c r="C573">
        <v>2023</v>
      </c>
      <c r="D573" t="s">
        <v>34</v>
      </c>
      <c r="E573" t="s">
        <v>52</v>
      </c>
      <c r="F573" t="s">
        <v>21</v>
      </c>
      <c r="G573">
        <v>34</v>
      </c>
      <c r="H573" t="s">
        <v>22</v>
      </c>
      <c r="I573" t="s">
        <v>48</v>
      </c>
      <c r="J573">
        <v>649</v>
      </c>
      <c r="K573" t="s">
        <v>49</v>
      </c>
      <c r="L573">
        <v>33</v>
      </c>
      <c r="M573" t="s">
        <v>45</v>
      </c>
      <c r="N573" t="s">
        <v>58</v>
      </c>
      <c r="O573">
        <v>5</v>
      </c>
      <c r="P573" t="s">
        <v>27</v>
      </c>
      <c r="Q573">
        <v>5</v>
      </c>
      <c r="R573">
        <v>649</v>
      </c>
    </row>
    <row r="574" spans="1:18" x14ac:dyDescent="0.3">
      <c r="A574" t="s">
        <v>633</v>
      </c>
      <c r="B574" s="1">
        <v>44600</v>
      </c>
      <c r="C574">
        <v>2022</v>
      </c>
      <c r="D574" t="s">
        <v>111</v>
      </c>
      <c r="E574" t="s">
        <v>43</v>
      </c>
      <c r="F574" t="s">
        <v>29</v>
      </c>
      <c r="G574">
        <v>51</v>
      </c>
      <c r="H574" t="s">
        <v>22</v>
      </c>
      <c r="I574" t="s">
        <v>37</v>
      </c>
      <c r="J574">
        <v>199</v>
      </c>
      <c r="K574" t="s">
        <v>75</v>
      </c>
      <c r="L574">
        <v>55</v>
      </c>
      <c r="M574" t="s">
        <v>25</v>
      </c>
      <c r="N574" t="s">
        <v>55</v>
      </c>
      <c r="O574">
        <v>1</v>
      </c>
      <c r="P574" t="s">
        <v>27</v>
      </c>
      <c r="Q574">
        <v>5</v>
      </c>
      <c r="R574">
        <v>199</v>
      </c>
    </row>
    <row r="575" spans="1:18" x14ac:dyDescent="0.3">
      <c r="A575" t="s">
        <v>634</v>
      </c>
      <c r="B575" s="1">
        <v>45825</v>
      </c>
      <c r="C575">
        <v>2025</v>
      </c>
      <c r="D575" t="s">
        <v>69</v>
      </c>
      <c r="E575" t="s">
        <v>35</v>
      </c>
      <c r="F575" t="s">
        <v>21</v>
      </c>
      <c r="G575">
        <v>48</v>
      </c>
      <c r="H575" t="s">
        <v>22</v>
      </c>
      <c r="I575" t="s">
        <v>23</v>
      </c>
      <c r="J575">
        <v>499</v>
      </c>
      <c r="K575" t="s">
        <v>24</v>
      </c>
      <c r="L575">
        <v>20</v>
      </c>
      <c r="M575" t="s">
        <v>45</v>
      </c>
      <c r="N575" t="s">
        <v>26</v>
      </c>
      <c r="O575">
        <v>36</v>
      </c>
      <c r="P575" t="s">
        <v>27</v>
      </c>
      <c r="Q575">
        <v>3</v>
      </c>
      <c r="R575">
        <v>499</v>
      </c>
    </row>
    <row r="576" spans="1:18" x14ac:dyDescent="0.3">
      <c r="A576" t="s">
        <v>635</v>
      </c>
      <c r="B576" s="1">
        <v>45651</v>
      </c>
      <c r="C576">
        <v>2024</v>
      </c>
      <c r="D576" t="s">
        <v>39</v>
      </c>
      <c r="E576" t="s">
        <v>52</v>
      </c>
      <c r="F576" t="s">
        <v>21</v>
      </c>
      <c r="G576">
        <v>29</v>
      </c>
      <c r="H576" t="s">
        <v>36</v>
      </c>
      <c r="I576" t="s">
        <v>23</v>
      </c>
      <c r="J576">
        <v>499</v>
      </c>
      <c r="K576" t="s">
        <v>30</v>
      </c>
      <c r="L576">
        <v>22</v>
      </c>
      <c r="M576" t="s">
        <v>25</v>
      </c>
      <c r="N576" t="s">
        <v>32</v>
      </c>
      <c r="O576">
        <v>7</v>
      </c>
      <c r="P576" t="s">
        <v>27</v>
      </c>
      <c r="Q576">
        <v>5</v>
      </c>
      <c r="R576">
        <v>499</v>
      </c>
    </row>
    <row r="577" spans="1:18" x14ac:dyDescent="0.3">
      <c r="A577" t="s">
        <v>636</v>
      </c>
      <c r="B577" s="1">
        <v>45656</v>
      </c>
      <c r="C577">
        <v>2024</v>
      </c>
      <c r="D577" t="s">
        <v>39</v>
      </c>
      <c r="E577" t="s">
        <v>20</v>
      </c>
      <c r="F577" t="s">
        <v>29</v>
      </c>
      <c r="G577">
        <v>23</v>
      </c>
      <c r="H577" t="s">
        <v>36</v>
      </c>
      <c r="I577" t="s">
        <v>37</v>
      </c>
      <c r="J577">
        <v>199</v>
      </c>
      <c r="K577" t="s">
        <v>44</v>
      </c>
      <c r="L577">
        <v>32</v>
      </c>
      <c r="M577" t="s">
        <v>31</v>
      </c>
      <c r="N577" t="s">
        <v>32</v>
      </c>
      <c r="O577">
        <v>41</v>
      </c>
      <c r="P577" t="s">
        <v>27</v>
      </c>
      <c r="Q577">
        <v>3</v>
      </c>
      <c r="R577">
        <v>199</v>
      </c>
    </row>
    <row r="578" spans="1:18" x14ac:dyDescent="0.3">
      <c r="A578" t="s">
        <v>637</v>
      </c>
      <c r="B578" s="1">
        <v>45279</v>
      </c>
      <c r="C578">
        <v>2023</v>
      </c>
      <c r="D578" t="s">
        <v>39</v>
      </c>
      <c r="E578" t="s">
        <v>35</v>
      </c>
      <c r="F578" t="s">
        <v>21</v>
      </c>
      <c r="G578">
        <v>47</v>
      </c>
      <c r="H578" t="s">
        <v>22</v>
      </c>
      <c r="I578" t="s">
        <v>48</v>
      </c>
      <c r="J578">
        <v>649</v>
      </c>
      <c r="K578" t="s">
        <v>30</v>
      </c>
      <c r="L578">
        <v>29</v>
      </c>
      <c r="M578" t="s">
        <v>31</v>
      </c>
      <c r="N578" t="s">
        <v>32</v>
      </c>
      <c r="O578">
        <v>39</v>
      </c>
      <c r="P578" t="s">
        <v>27</v>
      </c>
      <c r="Q578">
        <v>3</v>
      </c>
      <c r="R578">
        <v>649</v>
      </c>
    </row>
    <row r="579" spans="1:18" x14ac:dyDescent="0.3">
      <c r="A579" t="s">
        <v>638</v>
      </c>
      <c r="B579" s="1">
        <v>45883</v>
      </c>
      <c r="C579">
        <v>2025</v>
      </c>
      <c r="D579" t="s">
        <v>34</v>
      </c>
      <c r="E579" t="s">
        <v>20</v>
      </c>
      <c r="F579" t="s">
        <v>21</v>
      </c>
      <c r="G579">
        <v>46</v>
      </c>
      <c r="H579" t="s">
        <v>22</v>
      </c>
      <c r="I579" t="s">
        <v>48</v>
      </c>
      <c r="J579">
        <v>649</v>
      </c>
      <c r="K579" t="s">
        <v>44</v>
      </c>
      <c r="L579">
        <v>57</v>
      </c>
      <c r="M579" t="s">
        <v>41</v>
      </c>
      <c r="N579" t="s">
        <v>55</v>
      </c>
      <c r="O579">
        <v>25</v>
      </c>
      <c r="P579" t="s">
        <v>27</v>
      </c>
      <c r="Q579">
        <v>3</v>
      </c>
      <c r="R579">
        <v>649</v>
      </c>
    </row>
    <row r="580" spans="1:18" x14ac:dyDescent="0.3">
      <c r="A580" t="s">
        <v>639</v>
      </c>
      <c r="B580" s="1">
        <v>45182</v>
      </c>
      <c r="C580">
        <v>2023</v>
      </c>
      <c r="D580" t="s">
        <v>60</v>
      </c>
      <c r="E580" t="s">
        <v>43</v>
      </c>
      <c r="F580" t="s">
        <v>21</v>
      </c>
      <c r="G580">
        <v>18</v>
      </c>
      <c r="H580" t="s">
        <v>22</v>
      </c>
      <c r="I580" t="s">
        <v>48</v>
      </c>
      <c r="J580">
        <v>649</v>
      </c>
      <c r="K580" t="s">
        <v>49</v>
      </c>
      <c r="L580">
        <v>43</v>
      </c>
      <c r="M580" t="s">
        <v>25</v>
      </c>
      <c r="N580" t="s">
        <v>55</v>
      </c>
      <c r="O580">
        <v>10</v>
      </c>
      <c r="P580" t="s">
        <v>27</v>
      </c>
      <c r="Q580">
        <v>4</v>
      </c>
      <c r="R580">
        <v>649</v>
      </c>
    </row>
    <row r="581" spans="1:18" x14ac:dyDescent="0.3">
      <c r="A581" t="s">
        <v>640</v>
      </c>
      <c r="B581" s="1">
        <v>45575</v>
      </c>
      <c r="C581">
        <v>2024</v>
      </c>
      <c r="D581" t="s">
        <v>47</v>
      </c>
      <c r="E581" t="s">
        <v>35</v>
      </c>
      <c r="F581" t="s">
        <v>63</v>
      </c>
      <c r="G581">
        <v>39</v>
      </c>
      <c r="H581" t="s">
        <v>36</v>
      </c>
      <c r="I581" t="s">
        <v>37</v>
      </c>
      <c r="J581">
        <v>199</v>
      </c>
      <c r="K581" t="s">
        <v>57</v>
      </c>
      <c r="L581">
        <v>56</v>
      </c>
      <c r="M581" t="s">
        <v>31</v>
      </c>
      <c r="N581" t="s">
        <v>58</v>
      </c>
      <c r="O581">
        <v>41</v>
      </c>
      <c r="P581" t="s">
        <v>27</v>
      </c>
      <c r="Q581">
        <v>3</v>
      </c>
      <c r="R581">
        <v>199</v>
      </c>
    </row>
    <row r="582" spans="1:18" x14ac:dyDescent="0.3">
      <c r="A582" t="s">
        <v>641</v>
      </c>
      <c r="B582" s="1">
        <v>45297</v>
      </c>
      <c r="C582">
        <v>2024</v>
      </c>
      <c r="D582" t="s">
        <v>62</v>
      </c>
      <c r="E582" t="s">
        <v>52</v>
      </c>
      <c r="F582" t="s">
        <v>29</v>
      </c>
      <c r="G582">
        <v>43</v>
      </c>
      <c r="H582" t="s">
        <v>36</v>
      </c>
      <c r="I582" t="s">
        <v>48</v>
      </c>
      <c r="J582">
        <v>649</v>
      </c>
      <c r="K582" t="s">
        <v>57</v>
      </c>
      <c r="L582">
        <v>54</v>
      </c>
      <c r="M582" t="s">
        <v>31</v>
      </c>
      <c r="N582" t="s">
        <v>58</v>
      </c>
      <c r="O582">
        <v>47</v>
      </c>
      <c r="P582" t="s">
        <v>27</v>
      </c>
      <c r="Q582">
        <v>5</v>
      </c>
      <c r="R582">
        <v>649</v>
      </c>
    </row>
    <row r="583" spans="1:18" x14ac:dyDescent="0.3">
      <c r="A583" t="s">
        <v>642</v>
      </c>
      <c r="B583" s="1">
        <v>45408</v>
      </c>
      <c r="C583">
        <v>2024</v>
      </c>
      <c r="D583" t="s">
        <v>51</v>
      </c>
      <c r="E583" t="s">
        <v>35</v>
      </c>
      <c r="F583" t="s">
        <v>63</v>
      </c>
      <c r="G583">
        <v>36</v>
      </c>
      <c r="H583" t="s">
        <v>36</v>
      </c>
      <c r="I583" t="s">
        <v>23</v>
      </c>
      <c r="J583">
        <v>499</v>
      </c>
      <c r="K583" t="s">
        <v>67</v>
      </c>
      <c r="L583">
        <v>28</v>
      </c>
      <c r="M583" t="s">
        <v>45</v>
      </c>
      <c r="N583" t="s">
        <v>32</v>
      </c>
      <c r="O583">
        <v>20</v>
      </c>
      <c r="P583" t="s">
        <v>27</v>
      </c>
      <c r="Q583">
        <v>3</v>
      </c>
      <c r="R583">
        <v>499</v>
      </c>
    </row>
    <row r="584" spans="1:18" x14ac:dyDescent="0.3">
      <c r="A584" t="s">
        <v>643</v>
      </c>
      <c r="B584" s="1">
        <v>44724</v>
      </c>
      <c r="C584">
        <v>2022</v>
      </c>
      <c r="D584" t="s">
        <v>69</v>
      </c>
      <c r="E584" t="s">
        <v>52</v>
      </c>
      <c r="F584" t="s">
        <v>21</v>
      </c>
      <c r="G584">
        <v>39</v>
      </c>
      <c r="H584" t="s">
        <v>36</v>
      </c>
      <c r="I584" t="s">
        <v>37</v>
      </c>
      <c r="J584">
        <v>199</v>
      </c>
      <c r="K584" t="s">
        <v>75</v>
      </c>
      <c r="L584">
        <v>56</v>
      </c>
      <c r="M584" t="s">
        <v>45</v>
      </c>
      <c r="N584" t="s">
        <v>32</v>
      </c>
      <c r="O584">
        <v>19</v>
      </c>
      <c r="P584" t="s">
        <v>27</v>
      </c>
      <c r="Q584">
        <v>3</v>
      </c>
      <c r="R584">
        <v>199</v>
      </c>
    </row>
    <row r="585" spans="1:18" x14ac:dyDescent="0.3">
      <c r="A585" t="s">
        <v>644</v>
      </c>
      <c r="B585" s="1">
        <v>45106</v>
      </c>
      <c r="C585">
        <v>2023</v>
      </c>
      <c r="D585" t="s">
        <v>69</v>
      </c>
      <c r="E585" t="s">
        <v>43</v>
      </c>
      <c r="F585" t="s">
        <v>63</v>
      </c>
      <c r="G585">
        <v>31</v>
      </c>
      <c r="H585" t="s">
        <v>36</v>
      </c>
      <c r="I585" t="s">
        <v>37</v>
      </c>
      <c r="J585">
        <v>199</v>
      </c>
      <c r="K585" t="s">
        <v>24</v>
      </c>
      <c r="L585">
        <v>23</v>
      </c>
      <c r="M585" t="s">
        <v>25</v>
      </c>
      <c r="N585" t="s">
        <v>32</v>
      </c>
      <c r="O585">
        <v>5</v>
      </c>
      <c r="P585" t="s">
        <v>27</v>
      </c>
      <c r="Q585">
        <v>3</v>
      </c>
      <c r="R585">
        <v>199</v>
      </c>
    </row>
    <row r="586" spans="1:18" x14ac:dyDescent="0.3">
      <c r="A586" t="s">
        <v>645</v>
      </c>
      <c r="B586" s="1">
        <v>45908</v>
      </c>
      <c r="C586">
        <v>2025</v>
      </c>
      <c r="D586" t="s">
        <v>60</v>
      </c>
      <c r="E586" t="s">
        <v>35</v>
      </c>
      <c r="F586" t="s">
        <v>29</v>
      </c>
      <c r="G586">
        <v>21</v>
      </c>
      <c r="H586" t="s">
        <v>22</v>
      </c>
      <c r="I586" t="s">
        <v>48</v>
      </c>
      <c r="J586">
        <v>649</v>
      </c>
      <c r="K586" t="s">
        <v>40</v>
      </c>
      <c r="L586">
        <v>52</v>
      </c>
      <c r="M586" t="s">
        <v>45</v>
      </c>
      <c r="N586" t="s">
        <v>58</v>
      </c>
      <c r="O586">
        <v>14</v>
      </c>
      <c r="P586" t="s">
        <v>27</v>
      </c>
      <c r="Q586">
        <v>4</v>
      </c>
      <c r="R586">
        <v>649</v>
      </c>
    </row>
    <row r="587" spans="1:18" x14ac:dyDescent="0.3">
      <c r="A587" t="s">
        <v>646</v>
      </c>
      <c r="B587" s="1">
        <v>45158</v>
      </c>
      <c r="C587">
        <v>2023</v>
      </c>
      <c r="D587" t="s">
        <v>34</v>
      </c>
      <c r="E587" t="s">
        <v>43</v>
      </c>
      <c r="F587" t="s">
        <v>29</v>
      </c>
      <c r="G587">
        <v>47</v>
      </c>
      <c r="H587" t="s">
        <v>22</v>
      </c>
      <c r="I587" t="s">
        <v>37</v>
      </c>
      <c r="J587">
        <v>199</v>
      </c>
      <c r="K587" t="s">
        <v>44</v>
      </c>
      <c r="L587">
        <v>38</v>
      </c>
      <c r="M587" t="s">
        <v>31</v>
      </c>
      <c r="N587" t="s">
        <v>55</v>
      </c>
      <c r="O587">
        <v>40</v>
      </c>
      <c r="P587" t="s">
        <v>27</v>
      </c>
      <c r="Q587">
        <v>4</v>
      </c>
      <c r="R587">
        <v>199</v>
      </c>
    </row>
    <row r="588" spans="1:18" x14ac:dyDescent="0.3">
      <c r="A588" t="s">
        <v>647</v>
      </c>
      <c r="B588" s="1">
        <v>45680</v>
      </c>
      <c r="C588">
        <v>2025</v>
      </c>
      <c r="D588" t="s">
        <v>62</v>
      </c>
      <c r="E588" t="s">
        <v>43</v>
      </c>
      <c r="F588" t="s">
        <v>29</v>
      </c>
      <c r="G588">
        <v>35</v>
      </c>
      <c r="H588" t="s">
        <v>22</v>
      </c>
      <c r="I588" t="s">
        <v>23</v>
      </c>
      <c r="J588">
        <v>499</v>
      </c>
      <c r="K588" t="s">
        <v>30</v>
      </c>
      <c r="L588">
        <v>48</v>
      </c>
      <c r="M588" t="s">
        <v>45</v>
      </c>
      <c r="N588" t="s">
        <v>58</v>
      </c>
      <c r="O588">
        <v>44</v>
      </c>
      <c r="P588" t="s">
        <v>27</v>
      </c>
      <c r="Q588">
        <v>5</v>
      </c>
      <c r="R588">
        <v>499</v>
      </c>
    </row>
    <row r="589" spans="1:18" x14ac:dyDescent="0.3">
      <c r="A589" t="s">
        <v>648</v>
      </c>
      <c r="B589" s="1">
        <v>44822</v>
      </c>
      <c r="C589">
        <v>2022</v>
      </c>
      <c r="D589" t="s">
        <v>60</v>
      </c>
      <c r="E589" t="s">
        <v>35</v>
      </c>
      <c r="F589" t="s">
        <v>21</v>
      </c>
      <c r="G589">
        <v>28</v>
      </c>
      <c r="H589" t="s">
        <v>36</v>
      </c>
      <c r="I589" t="s">
        <v>37</v>
      </c>
      <c r="J589">
        <v>199</v>
      </c>
      <c r="K589" t="s">
        <v>49</v>
      </c>
      <c r="L589">
        <v>34</v>
      </c>
      <c r="M589" t="s">
        <v>45</v>
      </c>
      <c r="N589" t="s">
        <v>32</v>
      </c>
      <c r="O589">
        <v>6</v>
      </c>
      <c r="P589" t="s">
        <v>27</v>
      </c>
      <c r="Q589">
        <v>3</v>
      </c>
      <c r="R589">
        <v>199</v>
      </c>
    </row>
    <row r="590" spans="1:18" x14ac:dyDescent="0.3">
      <c r="A590" t="s">
        <v>649</v>
      </c>
      <c r="B590" s="1">
        <v>45068</v>
      </c>
      <c r="C590">
        <v>2023</v>
      </c>
      <c r="D590" t="s">
        <v>79</v>
      </c>
      <c r="E590" t="s">
        <v>35</v>
      </c>
      <c r="F590" t="s">
        <v>63</v>
      </c>
      <c r="G590">
        <v>32</v>
      </c>
      <c r="H590" t="s">
        <v>36</v>
      </c>
      <c r="I590" t="s">
        <v>48</v>
      </c>
      <c r="J590">
        <v>649</v>
      </c>
      <c r="K590" t="s">
        <v>49</v>
      </c>
      <c r="L590">
        <v>59</v>
      </c>
      <c r="M590" t="s">
        <v>41</v>
      </c>
      <c r="N590" t="s">
        <v>32</v>
      </c>
      <c r="O590">
        <v>24</v>
      </c>
      <c r="P590" t="s">
        <v>27</v>
      </c>
      <c r="Q590">
        <v>5</v>
      </c>
      <c r="R590">
        <v>649</v>
      </c>
    </row>
    <row r="591" spans="1:18" x14ac:dyDescent="0.3">
      <c r="A591" t="s">
        <v>650</v>
      </c>
      <c r="B591" s="1">
        <v>45285</v>
      </c>
      <c r="C591">
        <v>2023</v>
      </c>
      <c r="D591" t="s">
        <v>39</v>
      </c>
      <c r="E591" t="s">
        <v>43</v>
      </c>
      <c r="F591" t="s">
        <v>63</v>
      </c>
      <c r="G591">
        <v>51</v>
      </c>
      <c r="H591" t="s">
        <v>22</v>
      </c>
      <c r="I591" t="s">
        <v>23</v>
      </c>
      <c r="J591">
        <v>499</v>
      </c>
      <c r="K591" t="s">
        <v>53</v>
      </c>
      <c r="L591">
        <v>36</v>
      </c>
      <c r="M591" t="s">
        <v>41</v>
      </c>
      <c r="N591" t="s">
        <v>55</v>
      </c>
      <c r="O591">
        <v>36</v>
      </c>
      <c r="P591" t="s">
        <v>27</v>
      </c>
      <c r="Q591">
        <v>3</v>
      </c>
      <c r="R591">
        <v>499</v>
      </c>
    </row>
    <row r="592" spans="1:18" x14ac:dyDescent="0.3">
      <c r="A592" t="s">
        <v>651</v>
      </c>
      <c r="B592" s="1">
        <v>45153</v>
      </c>
      <c r="C592">
        <v>2023</v>
      </c>
      <c r="D592" t="s">
        <v>34</v>
      </c>
      <c r="E592" t="s">
        <v>43</v>
      </c>
      <c r="F592" t="s">
        <v>21</v>
      </c>
      <c r="G592">
        <v>22</v>
      </c>
      <c r="H592" t="s">
        <v>22</v>
      </c>
      <c r="I592" t="s">
        <v>37</v>
      </c>
      <c r="J592">
        <v>199</v>
      </c>
      <c r="K592" t="s">
        <v>53</v>
      </c>
      <c r="L592">
        <v>35</v>
      </c>
      <c r="M592" t="s">
        <v>45</v>
      </c>
      <c r="N592" t="s">
        <v>55</v>
      </c>
      <c r="O592">
        <v>21</v>
      </c>
      <c r="P592" t="s">
        <v>73</v>
      </c>
      <c r="Q592">
        <v>3</v>
      </c>
      <c r="R592">
        <v>0</v>
      </c>
    </row>
    <row r="593" spans="1:18" x14ac:dyDescent="0.3">
      <c r="A593" t="s">
        <v>652</v>
      </c>
      <c r="B593" s="1">
        <v>45616</v>
      </c>
      <c r="C593">
        <v>2024</v>
      </c>
      <c r="D593" t="s">
        <v>19</v>
      </c>
      <c r="E593" t="s">
        <v>35</v>
      </c>
      <c r="F593" t="s">
        <v>63</v>
      </c>
      <c r="G593">
        <v>51</v>
      </c>
      <c r="H593" t="s">
        <v>36</v>
      </c>
      <c r="I593" t="s">
        <v>23</v>
      </c>
      <c r="J593">
        <v>499</v>
      </c>
      <c r="K593" t="s">
        <v>49</v>
      </c>
      <c r="L593">
        <v>27</v>
      </c>
      <c r="M593" t="s">
        <v>25</v>
      </c>
      <c r="N593" t="s">
        <v>32</v>
      </c>
      <c r="O593">
        <v>23</v>
      </c>
      <c r="P593" t="s">
        <v>73</v>
      </c>
      <c r="Q593">
        <v>3</v>
      </c>
      <c r="R593">
        <v>0</v>
      </c>
    </row>
    <row r="594" spans="1:18" x14ac:dyDescent="0.3">
      <c r="A594" t="s">
        <v>653</v>
      </c>
      <c r="B594" s="1">
        <v>44977</v>
      </c>
      <c r="C594">
        <v>2023</v>
      </c>
      <c r="D594" t="s">
        <v>111</v>
      </c>
      <c r="E594" t="s">
        <v>43</v>
      </c>
      <c r="F594" t="s">
        <v>21</v>
      </c>
      <c r="G594">
        <v>21</v>
      </c>
      <c r="H594" t="s">
        <v>36</v>
      </c>
      <c r="I594" t="s">
        <v>23</v>
      </c>
      <c r="J594">
        <v>499</v>
      </c>
      <c r="K594" t="s">
        <v>40</v>
      </c>
      <c r="L594">
        <v>54</v>
      </c>
      <c r="M594" t="s">
        <v>31</v>
      </c>
      <c r="N594" t="s">
        <v>58</v>
      </c>
      <c r="O594">
        <v>26</v>
      </c>
      <c r="P594" t="s">
        <v>27</v>
      </c>
      <c r="Q594">
        <v>4</v>
      </c>
      <c r="R594">
        <v>499</v>
      </c>
    </row>
    <row r="595" spans="1:18" x14ac:dyDescent="0.3">
      <c r="A595" t="s">
        <v>654</v>
      </c>
      <c r="B595" s="1">
        <v>44702</v>
      </c>
      <c r="C595">
        <v>2022</v>
      </c>
      <c r="D595" t="s">
        <v>79</v>
      </c>
      <c r="E595" t="s">
        <v>52</v>
      </c>
      <c r="F595" t="s">
        <v>29</v>
      </c>
      <c r="G595">
        <v>37</v>
      </c>
      <c r="H595" t="s">
        <v>36</v>
      </c>
      <c r="I595" t="s">
        <v>37</v>
      </c>
      <c r="J595">
        <v>199</v>
      </c>
      <c r="K595" t="s">
        <v>24</v>
      </c>
      <c r="L595">
        <v>21</v>
      </c>
      <c r="M595" t="s">
        <v>41</v>
      </c>
      <c r="N595" t="s">
        <v>32</v>
      </c>
      <c r="O595">
        <v>36</v>
      </c>
      <c r="P595" t="s">
        <v>27</v>
      </c>
      <c r="Q595">
        <v>3</v>
      </c>
      <c r="R595">
        <v>199</v>
      </c>
    </row>
    <row r="596" spans="1:18" x14ac:dyDescent="0.3">
      <c r="A596" t="s">
        <v>655</v>
      </c>
      <c r="B596" s="1">
        <v>45666</v>
      </c>
      <c r="C596">
        <v>2025</v>
      </c>
      <c r="D596" t="s">
        <v>62</v>
      </c>
      <c r="E596" t="s">
        <v>20</v>
      </c>
      <c r="F596" t="s">
        <v>29</v>
      </c>
      <c r="G596">
        <v>54</v>
      </c>
      <c r="H596" t="s">
        <v>36</v>
      </c>
      <c r="I596" t="s">
        <v>48</v>
      </c>
      <c r="J596">
        <v>649</v>
      </c>
      <c r="K596" t="s">
        <v>24</v>
      </c>
      <c r="L596">
        <v>38</v>
      </c>
      <c r="M596" t="s">
        <v>25</v>
      </c>
      <c r="N596" t="s">
        <v>58</v>
      </c>
      <c r="O596">
        <v>45</v>
      </c>
      <c r="P596" t="s">
        <v>27</v>
      </c>
      <c r="Q596">
        <v>5</v>
      </c>
      <c r="R596">
        <v>649</v>
      </c>
    </row>
    <row r="597" spans="1:18" x14ac:dyDescent="0.3">
      <c r="A597" t="s">
        <v>656</v>
      </c>
      <c r="B597" s="1">
        <v>45663</v>
      </c>
      <c r="C597">
        <v>2025</v>
      </c>
      <c r="D597" t="s">
        <v>62</v>
      </c>
      <c r="E597" t="s">
        <v>20</v>
      </c>
      <c r="F597" t="s">
        <v>21</v>
      </c>
      <c r="G597">
        <v>43</v>
      </c>
      <c r="H597" t="s">
        <v>36</v>
      </c>
      <c r="I597" t="s">
        <v>23</v>
      </c>
      <c r="J597">
        <v>499</v>
      </c>
      <c r="K597" t="s">
        <v>75</v>
      </c>
      <c r="L597">
        <v>53</v>
      </c>
      <c r="M597" t="s">
        <v>25</v>
      </c>
      <c r="N597" t="s">
        <v>55</v>
      </c>
      <c r="O597">
        <v>27</v>
      </c>
      <c r="P597" t="s">
        <v>27</v>
      </c>
      <c r="Q597">
        <v>5</v>
      </c>
      <c r="R597">
        <v>499</v>
      </c>
    </row>
    <row r="598" spans="1:18" x14ac:dyDescent="0.3">
      <c r="A598" t="s">
        <v>657</v>
      </c>
      <c r="B598" s="1">
        <v>45504</v>
      </c>
      <c r="C598">
        <v>2024</v>
      </c>
      <c r="D598" t="s">
        <v>85</v>
      </c>
      <c r="E598" t="s">
        <v>52</v>
      </c>
      <c r="F598" t="s">
        <v>63</v>
      </c>
      <c r="G598">
        <v>30</v>
      </c>
      <c r="H598" t="s">
        <v>36</v>
      </c>
      <c r="I598" t="s">
        <v>23</v>
      </c>
      <c r="J598">
        <v>499</v>
      </c>
      <c r="K598" t="s">
        <v>40</v>
      </c>
      <c r="L598">
        <v>40</v>
      </c>
      <c r="M598" t="s">
        <v>25</v>
      </c>
      <c r="N598" t="s">
        <v>26</v>
      </c>
      <c r="O598">
        <v>48</v>
      </c>
      <c r="P598" t="s">
        <v>27</v>
      </c>
      <c r="Q598">
        <v>3</v>
      </c>
      <c r="R598">
        <v>499</v>
      </c>
    </row>
    <row r="599" spans="1:18" x14ac:dyDescent="0.3">
      <c r="A599" t="s">
        <v>658</v>
      </c>
      <c r="B599" s="1">
        <v>45645</v>
      </c>
      <c r="C599">
        <v>2024</v>
      </c>
      <c r="D599" t="s">
        <v>39</v>
      </c>
      <c r="E599" t="s">
        <v>35</v>
      </c>
      <c r="F599" t="s">
        <v>63</v>
      </c>
      <c r="G599">
        <v>52</v>
      </c>
      <c r="H599" t="s">
        <v>36</v>
      </c>
      <c r="I599" t="s">
        <v>23</v>
      </c>
      <c r="J599">
        <v>499</v>
      </c>
      <c r="K599" t="s">
        <v>24</v>
      </c>
      <c r="L599">
        <v>35</v>
      </c>
      <c r="M599" t="s">
        <v>31</v>
      </c>
      <c r="N599" t="s">
        <v>58</v>
      </c>
      <c r="O599">
        <v>35</v>
      </c>
      <c r="P599" t="s">
        <v>27</v>
      </c>
      <c r="Q599">
        <v>5</v>
      </c>
      <c r="R599">
        <v>499</v>
      </c>
    </row>
    <row r="600" spans="1:18" x14ac:dyDescent="0.3">
      <c r="A600" t="s">
        <v>659</v>
      </c>
      <c r="B600" s="1">
        <v>45368</v>
      </c>
      <c r="C600">
        <v>2024</v>
      </c>
      <c r="D600" t="s">
        <v>66</v>
      </c>
      <c r="E600" t="s">
        <v>43</v>
      </c>
      <c r="F600" t="s">
        <v>21</v>
      </c>
      <c r="G600">
        <v>44</v>
      </c>
      <c r="H600" t="s">
        <v>36</v>
      </c>
      <c r="I600" t="s">
        <v>37</v>
      </c>
      <c r="J600">
        <v>199</v>
      </c>
      <c r="K600" t="s">
        <v>49</v>
      </c>
      <c r="L600">
        <v>49</v>
      </c>
      <c r="M600" t="s">
        <v>31</v>
      </c>
      <c r="N600" t="s">
        <v>55</v>
      </c>
      <c r="O600">
        <v>8</v>
      </c>
      <c r="P600" t="s">
        <v>27</v>
      </c>
      <c r="Q600">
        <v>4</v>
      </c>
      <c r="R600">
        <v>199</v>
      </c>
    </row>
    <row r="601" spans="1:18" x14ac:dyDescent="0.3">
      <c r="A601" t="s">
        <v>660</v>
      </c>
      <c r="B601" s="1">
        <v>44823</v>
      </c>
      <c r="C601">
        <v>2022</v>
      </c>
      <c r="D601" t="s">
        <v>60</v>
      </c>
      <c r="E601" t="s">
        <v>35</v>
      </c>
      <c r="F601" t="s">
        <v>63</v>
      </c>
      <c r="G601">
        <v>37</v>
      </c>
      <c r="H601" t="s">
        <v>36</v>
      </c>
      <c r="I601" t="s">
        <v>37</v>
      </c>
      <c r="J601">
        <v>199</v>
      </c>
      <c r="K601" t="s">
        <v>53</v>
      </c>
      <c r="L601">
        <v>54</v>
      </c>
      <c r="M601" t="s">
        <v>45</v>
      </c>
      <c r="N601" t="s">
        <v>26</v>
      </c>
      <c r="O601">
        <v>4</v>
      </c>
      <c r="P601" t="s">
        <v>27</v>
      </c>
      <c r="Q601">
        <v>4</v>
      </c>
      <c r="R601">
        <v>199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92339-0AB5-446F-A71B-9C97E01D426A}">
  <dimension ref="A1:T601"/>
  <sheetViews>
    <sheetView workbookViewId="0">
      <pane ySplit="1" topLeftCell="A2" activePane="bottomLeft" state="frozen"/>
      <selection pane="bottomLeft" activeCell="S5" sqref="S5"/>
    </sheetView>
  </sheetViews>
  <sheetFormatPr defaultRowHeight="14.4" x14ac:dyDescent="0.3"/>
  <cols>
    <col min="2" max="2" width="12" style="1" customWidth="1"/>
    <col min="9" max="9" width="15.5546875" customWidth="1"/>
    <col min="10" max="10" width="15.6640625" style="2" customWidth="1"/>
    <col min="11" max="11" width="13.33203125" customWidth="1"/>
    <col min="12" max="12" width="10" customWidth="1"/>
    <col min="13" max="13" width="11.21875" customWidth="1"/>
    <col min="15" max="15" width="13.44140625" customWidth="1"/>
    <col min="16" max="16" width="11.88671875" customWidth="1"/>
    <col min="17" max="17" width="15.88671875" customWidth="1"/>
    <col min="18" max="18" width="19.109375" style="2" customWidth="1"/>
    <col min="19" max="19" width="19.77734375" customWidth="1"/>
    <col min="20" max="20" width="14" customWidth="1"/>
  </cols>
  <sheetData>
    <row r="1" spans="1:20" x14ac:dyDescent="0.3">
      <c r="A1" t="s">
        <v>0</v>
      </c>
      <c r="B1" s="1" t="s">
        <v>1</v>
      </c>
      <c r="C1" t="s">
        <v>2</v>
      </c>
      <c r="D1" t="s">
        <v>3</v>
      </c>
      <c r="E1" t="s">
        <v>4</v>
      </c>
      <c r="F1" t="s">
        <v>5</v>
      </c>
      <c r="G1" t="s">
        <v>6</v>
      </c>
      <c r="H1" t="s">
        <v>7</v>
      </c>
      <c r="I1" t="s">
        <v>8</v>
      </c>
      <c r="J1" s="2" t="s">
        <v>9</v>
      </c>
      <c r="K1" t="s">
        <v>10</v>
      </c>
      <c r="L1" t="s">
        <v>11</v>
      </c>
      <c r="M1" t="s">
        <v>12</v>
      </c>
      <c r="N1" t="s">
        <v>13</v>
      </c>
      <c r="O1" t="s">
        <v>14</v>
      </c>
      <c r="P1" t="s">
        <v>15</v>
      </c>
      <c r="Q1" t="s">
        <v>16</v>
      </c>
      <c r="R1" s="2" t="s">
        <v>17</v>
      </c>
      <c r="S1" t="s">
        <v>669</v>
      </c>
      <c r="T1" t="s">
        <v>670</v>
      </c>
    </row>
    <row r="2" spans="1:20" x14ac:dyDescent="0.3">
      <c r="A2" t="s">
        <v>18</v>
      </c>
      <c r="B2" s="1">
        <v>45966</v>
      </c>
      <c r="C2">
        <v>2025</v>
      </c>
      <c r="D2" t="s">
        <v>19</v>
      </c>
      <c r="E2" t="s">
        <v>20</v>
      </c>
      <c r="F2" t="s">
        <v>21</v>
      </c>
      <c r="G2">
        <v>51</v>
      </c>
      <c r="H2" t="s">
        <v>22</v>
      </c>
      <c r="I2" t="s">
        <v>23</v>
      </c>
      <c r="J2" s="2">
        <v>499</v>
      </c>
      <c r="K2" t="s">
        <v>24</v>
      </c>
      <c r="L2">
        <v>24</v>
      </c>
      <c r="M2" t="s">
        <v>25</v>
      </c>
      <c r="N2" t="s">
        <v>26</v>
      </c>
      <c r="O2">
        <v>32</v>
      </c>
      <c r="P2" t="s">
        <v>27</v>
      </c>
      <c r="Q2">
        <v>5</v>
      </c>
      <c r="R2" s="2">
        <v>499</v>
      </c>
      <c r="S2" t="str">
        <f>IF(G2&lt;=24,"Genz viewer",IF(G2&lt;=34,"Young Professionals",IF(G2&lt;=44,"mid career adult",IF(G2&lt;=54,"Mature viewer","senior viewer"))))</f>
        <v>Mature viewer</v>
      </c>
      <c r="T2" t="str">
        <f>IF(L2&lt;=20,"Casual Viewer",IF(L2&lt;=35,"Regular Viewer", IF(L2&lt;=50,"Engaged Viewer","Binge watcher")))</f>
        <v>Regular Viewer</v>
      </c>
    </row>
    <row r="3" spans="1:20" x14ac:dyDescent="0.3">
      <c r="A3" t="s">
        <v>28</v>
      </c>
      <c r="B3" s="1">
        <v>45980</v>
      </c>
      <c r="C3">
        <v>2025</v>
      </c>
      <c r="D3" t="s">
        <v>19</v>
      </c>
      <c r="E3" t="s">
        <v>20</v>
      </c>
      <c r="F3" t="s">
        <v>29</v>
      </c>
      <c r="G3">
        <v>19</v>
      </c>
      <c r="H3" t="s">
        <v>22</v>
      </c>
      <c r="I3" t="s">
        <v>23</v>
      </c>
      <c r="J3" s="2">
        <v>499</v>
      </c>
      <c r="K3" t="s">
        <v>30</v>
      </c>
      <c r="L3">
        <v>29</v>
      </c>
      <c r="M3" t="s">
        <v>31</v>
      </c>
      <c r="N3" t="s">
        <v>32</v>
      </c>
      <c r="O3">
        <v>14</v>
      </c>
      <c r="P3" t="s">
        <v>27</v>
      </c>
      <c r="Q3">
        <v>3</v>
      </c>
      <c r="R3" s="2">
        <v>499</v>
      </c>
      <c r="S3" t="str">
        <f t="shared" ref="S3:S66" si="0">IF(G3&lt;=24,"Genz viewer",IF(G3&lt;=34,"Young Professionals",IF(G3&lt;=44,"mid career adult",IF(G3&lt;=54,"Mature viewer","senior viewer"))))</f>
        <v>Genz viewer</v>
      </c>
      <c r="T3" t="str">
        <f t="shared" ref="T3:T66" si="1">IF(L3&lt;=20,"Casual Viewer",IF(L3&lt;=35,"Regular Viewer", IF(L3&lt;=50,"Engaged Viewer","Binge watcher")))</f>
        <v>Regular Viewer</v>
      </c>
    </row>
    <row r="4" spans="1:20" x14ac:dyDescent="0.3">
      <c r="A4" t="s">
        <v>33</v>
      </c>
      <c r="B4" s="1">
        <v>45891</v>
      </c>
      <c r="C4">
        <v>2025</v>
      </c>
      <c r="D4" t="s">
        <v>34</v>
      </c>
      <c r="E4" t="s">
        <v>35</v>
      </c>
      <c r="F4" t="s">
        <v>29</v>
      </c>
      <c r="G4">
        <v>47</v>
      </c>
      <c r="H4" t="s">
        <v>36</v>
      </c>
      <c r="I4" t="s">
        <v>37</v>
      </c>
      <c r="J4" s="2">
        <v>199</v>
      </c>
      <c r="K4" t="s">
        <v>30</v>
      </c>
      <c r="L4">
        <v>44</v>
      </c>
      <c r="M4" t="s">
        <v>25</v>
      </c>
      <c r="N4" t="s">
        <v>32</v>
      </c>
      <c r="O4">
        <v>29</v>
      </c>
      <c r="P4" t="s">
        <v>27</v>
      </c>
      <c r="Q4">
        <v>5</v>
      </c>
      <c r="R4" s="2">
        <v>199</v>
      </c>
      <c r="S4" t="str">
        <f t="shared" si="0"/>
        <v>Mature viewer</v>
      </c>
      <c r="T4" t="str">
        <f t="shared" si="1"/>
        <v>Engaged Viewer</v>
      </c>
    </row>
    <row r="5" spans="1:20" x14ac:dyDescent="0.3">
      <c r="A5" t="s">
        <v>38</v>
      </c>
      <c r="B5" s="1">
        <v>45286</v>
      </c>
      <c r="C5">
        <v>2023</v>
      </c>
      <c r="D5" t="s">
        <v>39</v>
      </c>
      <c r="E5" t="s">
        <v>35</v>
      </c>
      <c r="F5" t="s">
        <v>21</v>
      </c>
      <c r="G5">
        <v>19</v>
      </c>
      <c r="H5" t="s">
        <v>22</v>
      </c>
      <c r="I5" t="s">
        <v>23</v>
      </c>
      <c r="J5" s="2">
        <v>499</v>
      </c>
      <c r="K5" t="s">
        <v>40</v>
      </c>
      <c r="L5">
        <v>33</v>
      </c>
      <c r="M5" t="s">
        <v>41</v>
      </c>
      <c r="N5" t="s">
        <v>32</v>
      </c>
      <c r="O5">
        <v>7</v>
      </c>
      <c r="P5" t="s">
        <v>27</v>
      </c>
      <c r="Q5">
        <v>4</v>
      </c>
      <c r="R5" s="2">
        <v>499</v>
      </c>
      <c r="S5" t="str">
        <f t="shared" si="0"/>
        <v>Genz viewer</v>
      </c>
      <c r="T5" t="str">
        <f t="shared" si="1"/>
        <v>Regular Viewer</v>
      </c>
    </row>
    <row r="6" spans="1:20" x14ac:dyDescent="0.3">
      <c r="A6" t="s">
        <v>42</v>
      </c>
      <c r="B6" s="1">
        <v>45144</v>
      </c>
      <c r="C6">
        <v>2023</v>
      </c>
      <c r="D6" t="s">
        <v>34</v>
      </c>
      <c r="E6" t="s">
        <v>43</v>
      </c>
      <c r="F6" t="s">
        <v>29</v>
      </c>
      <c r="G6">
        <v>18</v>
      </c>
      <c r="H6" t="s">
        <v>22</v>
      </c>
      <c r="I6" t="s">
        <v>23</v>
      </c>
      <c r="J6" s="2">
        <v>499</v>
      </c>
      <c r="K6" t="s">
        <v>44</v>
      </c>
      <c r="L6">
        <v>20</v>
      </c>
      <c r="M6" t="s">
        <v>45</v>
      </c>
      <c r="N6" t="s">
        <v>26</v>
      </c>
      <c r="O6">
        <v>43</v>
      </c>
      <c r="P6" t="s">
        <v>27</v>
      </c>
      <c r="Q6">
        <v>4</v>
      </c>
      <c r="R6" s="2">
        <v>499</v>
      </c>
      <c r="S6" t="str">
        <f t="shared" si="0"/>
        <v>Genz viewer</v>
      </c>
      <c r="T6" t="str">
        <f t="shared" si="1"/>
        <v>Casual Viewer</v>
      </c>
    </row>
    <row r="7" spans="1:20" x14ac:dyDescent="0.3">
      <c r="A7" t="s">
        <v>46</v>
      </c>
      <c r="B7" s="1">
        <v>45954</v>
      </c>
      <c r="C7">
        <v>2025</v>
      </c>
      <c r="D7" t="s">
        <v>47</v>
      </c>
      <c r="E7" t="s">
        <v>35</v>
      </c>
      <c r="F7" t="s">
        <v>29</v>
      </c>
      <c r="G7">
        <v>33</v>
      </c>
      <c r="H7" t="s">
        <v>36</v>
      </c>
      <c r="I7" t="s">
        <v>48</v>
      </c>
      <c r="J7" s="2">
        <v>649</v>
      </c>
      <c r="K7" t="s">
        <v>49</v>
      </c>
      <c r="L7">
        <v>40</v>
      </c>
      <c r="M7" t="s">
        <v>41</v>
      </c>
      <c r="N7" t="s">
        <v>26</v>
      </c>
      <c r="O7">
        <v>36</v>
      </c>
      <c r="P7" t="s">
        <v>27</v>
      </c>
      <c r="Q7">
        <v>3</v>
      </c>
      <c r="R7" s="2">
        <v>649</v>
      </c>
      <c r="S7" t="str">
        <f t="shared" si="0"/>
        <v>Young Professionals</v>
      </c>
      <c r="T7" t="str">
        <f t="shared" si="1"/>
        <v>Engaged Viewer</v>
      </c>
    </row>
    <row r="8" spans="1:20" x14ac:dyDescent="0.3">
      <c r="A8" t="s">
        <v>50</v>
      </c>
      <c r="B8" s="1">
        <v>45750</v>
      </c>
      <c r="C8">
        <v>2025</v>
      </c>
      <c r="D8" t="s">
        <v>51</v>
      </c>
      <c r="E8" t="s">
        <v>52</v>
      </c>
      <c r="F8" t="s">
        <v>29</v>
      </c>
      <c r="G8">
        <v>43</v>
      </c>
      <c r="H8" t="s">
        <v>22</v>
      </c>
      <c r="I8" t="s">
        <v>23</v>
      </c>
      <c r="J8" s="2">
        <v>499</v>
      </c>
      <c r="K8" t="s">
        <v>53</v>
      </c>
      <c r="L8">
        <v>42</v>
      </c>
      <c r="M8" t="s">
        <v>45</v>
      </c>
      <c r="N8" t="s">
        <v>32</v>
      </c>
      <c r="O8">
        <v>32</v>
      </c>
      <c r="P8" t="s">
        <v>27</v>
      </c>
      <c r="Q8">
        <v>3</v>
      </c>
      <c r="R8" s="2">
        <v>499</v>
      </c>
      <c r="S8" t="str">
        <f t="shared" si="0"/>
        <v>mid career adult</v>
      </c>
      <c r="T8" t="str">
        <f t="shared" si="1"/>
        <v>Engaged Viewer</v>
      </c>
    </row>
    <row r="9" spans="1:20" x14ac:dyDescent="0.3">
      <c r="A9" t="s">
        <v>54</v>
      </c>
      <c r="B9" s="1">
        <v>45254</v>
      </c>
      <c r="C9">
        <v>2023</v>
      </c>
      <c r="D9" t="s">
        <v>19</v>
      </c>
      <c r="E9" t="s">
        <v>52</v>
      </c>
      <c r="F9" t="s">
        <v>21</v>
      </c>
      <c r="G9">
        <v>23</v>
      </c>
      <c r="H9" t="s">
        <v>36</v>
      </c>
      <c r="I9" t="s">
        <v>37</v>
      </c>
      <c r="J9" s="2">
        <v>199</v>
      </c>
      <c r="K9" t="s">
        <v>40</v>
      </c>
      <c r="L9">
        <v>27</v>
      </c>
      <c r="M9" t="s">
        <v>31</v>
      </c>
      <c r="N9" t="s">
        <v>55</v>
      </c>
      <c r="O9">
        <v>36</v>
      </c>
      <c r="P9" t="s">
        <v>27</v>
      </c>
      <c r="Q9">
        <v>4</v>
      </c>
      <c r="R9" s="2">
        <v>199</v>
      </c>
      <c r="S9" t="str">
        <f t="shared" si="0"/>
        <v>Genz viewer</v>
      </c>
      <c r="T9" t="str">
        <f t="shared" si="1"/>
        <v>Regular Viewer</v>
      </c>
    </row>
    <row r="10" spans="1:20" x14ac:dyDescent="0.3">
      <c r="A10" t="s">
        <v>56</v>
      </c>
      <c r="B10" s="1">
        <v>45231</v>
      </c>
      <c r="C10">
        <v>2023</v>
      </c>
      <c r="D10" t="s">
        <v>19</v>
      </c>
      <c r="E10" t="s">
        <v>20</v>
      </c>
      <c r="F10" t="s">
        <v>21</v>
      </c>
      <c r="G10">
        <v>34</v>
      </c>
      <c r="H10" t="s">
        <v>36</v>
      </c>
      <c r="I10" t="s">
        <v>37</v>
      </c>
      <c r="J10" s="2">
        <v>199</v>
      </c>
      <c r="K10" t="s">
        <v>57</v>
      </c>
      <c r="L10">
        <v>50</v>
      </c>
      <c r="M10" t="s">
        <v>31</v>
      </c>
      <c r="N10" t="s">
        <v>58</v>
      </c>
      <c r="O10">
        <v>12</v>
      </c>
      <c r="P10" t="s">
        <v>27</v>
      </c>
      <c r="Q10">
        <v>3</v>
      </c>
      <c r="R10" s="2">
        <v>199</v>
      </c>
      <c r="S10" t="str">
        <f t="shared" si="0"/>
        <v>Young Professionals</v>
      </c>
      <c r="T10" t="str">
        <f t="shared" si="1"/>
        <v>Engaged Viewer</v>
      </c>
    </row>
    <row r="11" spans="1:20" x14ac:dyDescent="0.3">
      <c r="A11" t="s">
        <v>59</v>
      </c>
      <c r="B11" s="1">
        <v>45548</v>
      </c>
      <c r="C11">
        <v>2024</v>
      </c>
      <c r="D11" t="s">
        <v>60</v>
      </c>
      <c r="E11" t="s">
        <v>35</v>
      </c>
      <c r="F11" t="s">
        <v>21</v>
      </c>
      <c r="G11">
        <v>40</v>
      </c>
      <c r="H11" t="s">
        <v>36</v>
      </c>
      <c r="I11" t="s">
        <v>48</v>
      </c>
      <c r="J11" s="2">
        <v>649</v>
      </c>
      <c r="K11" t="s">
        <v>24</v>
      </c>
      <c r="L11">
        <v>30</v>
      </c>
      <c r="M11" t="s">
        <v>41</v>
      </c>
      <c r="N11" t="s">
        <v>58</v>
      </c>
      <c r="O11">
        <v>22</v>
      </c>
      <c r="P11" t="s">
        <v>27</v>
      </c>
      <c r="Q11">
        <v>5</v>
      </c>
      <c r="R11" s="2">
        <v>649</v>
      </c>
      <c r="S11" t="str">
        <f t="shared" si="0"/>
        <v>mid career adult</v>
      </c>
      <c r="T11" t="str">
        <f t="shared" si="1"/>
        <v>Regular Viewer</v>
      </c>
    </row>
    <row r="12" spans="1:20" x14ac:dyDescent="0.3">
      <c r="A12" t="s">
        <v>61</v>
      </c>
      <c r="B12" s="1">
        <v>44949</v>
      </c>
      <c r="C12">
        <v>2023</v>
      </c>
      <c r="D12" t="s">
        <v>62</v>
      </c>
      <c r="E12" t="s">
        <v>43</v>
      </c>
      <c r="F12" t="s">
        <v>63</v>
      </c>
      <c r="G12">
        <v>27</v>
      </c>
      <c r="H12" t="s">
        <v>22</v>
      </c>
      <c r="I12" t="s">
        <v>37</v>
      </c>
      <c r="J12" s="2">
        <v>199</v>
      </c>
      <c r="K12" t="s">
        <v>30</v>
      </c>
      <c r="L12">
        <v>44</v>
      </c>
      <c r="M12" t="s">
        <v>31</v>
      </c>
      <c r="N12" t="s">
        <v>26</v>
      </c>
      <c r="O12">
        <v>23</v>
      </c>
      <c r="P12" t="s">
        <v>27</v>
      </c>
      <c r="Q12">
        <v>4</v>
      </c>
      <c r="R12" s="2">
        <v>199</v>
      </c>
      <c r="S12" t="str">
        <f t="shared" si="0"/>
        <v>Young Professionals</v>
      </c>
      <c r="T12" t="str">
        <f t="shared" si="1"/>
        <v>Engaged Viewer</v>
      </c>
    </row>
    <row r="13" spans="1:20" x14ac:dyDescent="0.3">
      <c r="A13" t="s">
        <v>64</v>
      </c>
      <c r="B13" s="1">
        <v>45152</v>
      </c>
      <c r="C13">
        <v>2023</v>
      </c>
      <c r="D13" t="s">
        <v>34</v>
      </c>
      <c r="E13" t="s">
        <v>43</v>
      </c>
      <c r="F13" t="s">
        <v>29</v>
      </c>
      <c r="G13">
        <v>50</v>
      </c>
      <c r="H13" t="s">
        <v>36</v>
      </c>
      <c r="I13" t="s">
        <v>37</v>
      </c>
      <c r="J13" s="2">
        <v>199</v>
      </c>
      <c r="K13" t="s">
        <v>57</v>
      </c>
      <c r="L13">
        <v>26</v>
      </c>
      <c r="M13" t="s">
        <v>31</v>
      </c>
      <c r="N13" t="s">
        <v>55</v>
      </c>
      <c r="O13">
        <v>12</v>
      </c>
      <c r="P13" t="s">
        <v>27</v>
      </c>
      <c r="Q13">
        <v>4</v>
      </c>
      <c r="R13" s="2">
        <v>199</v>
      </c>
      <c r="S13" t="str">
        <f t="shared" si="0"/>
        <v>Mature viewer</v>
      </c>
      <c r="T13" t="str">
        <f t="shared" si="1"/>
        <v>Regular Viewer</v>
      </c>
    </row>
    <row r="14" spans="1:20" x14ac:dyDescent="0.3">
      <c r="A14" t="s">
        <v>65</v>
      </c>
      <c r="B14" s="1">
        <v>45366</v>
      </c>
      <c r="C14">
        <v>2024</v>
      </c>
      <c r="D14" t="s">
        <v>66</v>
      </c>
      <c r="E14" t="s">
        <v>43</v>
      </c>
      <c r="F14" t="s">
        <v>21</v>
      </c>
      <c r="G14">
        <v>40</v>
      </c>
      <c r="H14" t="s">
        <v>22</v>
      </c>
      <c r="I14" t="s">
        <v>37</v>
      </c>
      <c r="J14" s="2">
        <v>199</v>
      </c>
      <c r="K14" t="s">
        <v>67</v>
      </c>
      <c r="L14">
        <v>27</v>
      </c>
      <c r="M14" t="s">
        <v>31</v>
      </c>
      <c r="N14" t="s">
        <v>55</v>
      </c>
      <c r="O14">
        <v>46</v>
      </c>
      <c r="P14" t="s">
        <v>27</v>
      </c>
      <c r="Q14">
        <v>3</v>
      </c>
      <c r="R14" s="2">
        <v>199</v>
      </c>
      <c r="S14" t="str">
        <f t="shared" si="0"/>
        <v>mid career adult</v>
      </c>
      <c r="T14" t="str">
        <f t="shared" si="1"/>
        <v>Regular Viewer</v>
      </c>
    </row>
    <row r="15" spans="1:20" x14ac:dyDescent="0.3">
      <c r="A15" t="s">
        <v>68</v>
      </c>
      <c r="B15" s="1">
        <v>45453</v>
      </c>
      <c r="C15">
        <v>2024</v>
      </c>
      <c r="D15" t="s">
        <v>69</v>
      </c>
      <c r="E15" t="s">
        <v>35</v>
      </c>
      <c r="F15" t="s">
        <v>63</v>
      </c>
      <c r="G15">
        <v>24</v>
      </c>
      <c r="H15" t="s">
        <v>22</v>
      </c>
      <c r="I15" t="s">
        <v>37</v>
      </c>
      <c r="J15" s="2">
        <v>199</v>
      </c>
      <c r="K15" t="s">
        <v>40</v>
      </c>
      <c r="L15">
        <v>53</v>
      </c>
      <c r="M15" t="s">
        <v>41</v>
      </c>
      <c r="N15" t="s">
        <v>58</v>
      </c>
      <c r="O15">
        <v>44</v>
      </c>
      <c r="P15" t="s">
        <v>27</v>
      </c>
      <c r="Q15">
        <v>5</v>
      </c>
      <c r="R15" s="2">
        <v>199</v>
      </c>
      <c r="S15" t="str">
        <f t="shared" si="0"/>
        <v>Genz viewer</v>
      </c>
      <c r="T15" t="str">
        <f t="shared" si="1"/>
        <v>Binge watcher</v>
      </c>
    </row>
    <row r="16" spans="1:20" x14ac:dyDescent="0.3">
      <c r="A16" t="s">
        <v>70</v>
      </c>
      <c r="B16" s="1">
        <v>45521</v>
      </c>
      <c r="C16">
        <v>2024</v>
      </c>
      <c r="D16" t="s">
        <v>34</v>
      </c>
      <c r="E16" t="s">
        <v>20</v>
      </c>
      <c r="F16" t="s">
        <v>63</v>
      </c>
      <c r="G16">
        <v>41</v>
      </c>
      <c r="H16" t="s">
        <v>22</v>
      </c>
      <c r="I16" t="s">
        <v>48</v>
      </c>
      <c r="J16" s="2">
        <v>649</v>
      </c>
      <c r="K16" t="s">
        <v>30</v>
      </c>
      <c r="L16">
        <v>27</v>
      </c>
      <c r="M16" t="s">
        <v>25</v>
      </c>
      <c r="N16" t="s">
        <v>32</v>
      </c>
      <c r="O16">
        <v>7</v>
      </c>
      <c r="P16" t="s">
        <v>27</v>
      </c>
      <c r="Q16">
        <v>3</v>
      </c>
      <c r="R16" s="2">
        <v>649</v>
      </c>
      <c r="S16" t="str">
        <f t="shared" si="0"/>
        <v>mid career adult</v>
      </c>
      <c r="T16" t="str">
        <f t="shared" si="1"/>
        <v>Regular Viewer</v>
      </c>
    </row>
    <row r="17" spans="1:20" x14ac:dyDescent="0.3">
      <c r="A17" t="s">
        <v>71</v>
      </c>
      <c r="B17" s="1">
        <v>44585</v>
      </c>
      <c r="C17">
        <v>2022</v>
      </c>
      <c r="D17" t="s">
        <v>62</v>
      </c>
      <c r="E17" t="s">
        <v>35</v>
      </c>
      <c r="F17" t="s">
        <v>29</v>
      </c>
      <c r="G17">
        <v>39</v>
      </c>
      <c r="H17" t="s">
        <v>36</v>
      </c>
      <c r="I17" t="s">
        <v>23</v>
      </c>
      <c r="J17" s="2">
        <v>499</v>
      </c>
      <c r="K17" t="s">
        <v>49</v>
      </c>
      <c r="L17">
        <v>23</v>
      </c>
      <c r="M17" t="s">
        <v>25</v>
      </c>
      <c r="N17" t="s">
        <v>55</v>
      </c>
      <c r="O17">
        <v>30</v>
      </c>
      <c r="P17" t="s">
        <v>27</v>
      </c>
      <c r="Q17">
        <v>4</v>
      </c>
      <c r="R17" s="2">
        <v>499</v>
      </c>
      <c r="S17" t="str">
        <f t="shared" si="0"/>
        <v>mid career adult</v>
      </c>
      <c r="T17" t="str">
        <f t="shared" si="1"/>
        <v>Regular Viewer</v>
      </c>
    </row>
    <row r="18" spans="1:20" x14ac:dyDescent="0.3">
      <c r="A18" t="s">
        <v>72</v>
      </c>
      <c r="B18" s="1">
        <v>45970</v>
      </c>
      <c r="C18">
        <v>2025</v>
      </c>
      <c r="D18" t="s">
        <v>19</v>
      </c>
      <c r="E18" t="s">
        <v>20</v>
      </c>
      <c r="F18" t="s">
        <v>21</v>
      </c>
      <c r="G18">
        <v>19</v>
      </c>
      <c r="H18" t="s">
        <v>22</v>
      </c>
      <c r="I18" t="s">
        <v>37</v>
      </c>
      <c r="J18" s="2">
        <v>199</v>
      </c>
      <c r="K18" t="s">
        <v>40</v>
      </c>
      <c r="L18">
        <v>33</v>
      </c>
      <c r="M18" t="s">
        <v>41</v>
      </c>
      <c r="N18" t="s">
        <v>26</v>
      </c>
      <c r="O18">
        <v>38</v>
      </c>
      <c r="P18" t="s">
        <v>73</v>
      </c>
      <c r="Q18">
        <v>2</v>
      </c>
      <c r="R18" s="2">
        <v>0</v>
      </c>
      <c r="S18" t="str">
        <f t="shared" si="0"/>
        <v>Genz viewer</v>
      </c>
      <c r="T18" t="str">
        <f t="shared" si="1"/>
        <v>Regular Viewer</v>
      </c>
    </row>
    <row r="19" spans="1:20" x14ac:dyDescent="0.3">
      <c r="A19" t="s">
        <v>74</v>
      </c>
      <c r="B19" s="1">
        <v>44880</v>
      </c>
      <c r="C19">
        <v>2022</v>
      </c>
      <c r="D19" t="s">
        <v>19</v>
      </c>
      <c r="E19" t="s">
        <v>52</v>
      </c>
      <c r="F19" t="s">
        <v>63</v>
      </c>
      <c r="G19">
        <v>28</v>
      </c>
      <c r="H19" t="s">
        <v>22</v>
      </c>
      <c r="I19" t="s">
        <v>48</v>
      </c>
      <c r="J19" s="2">
        <v>649</v>
      </c>
      <c r="K19" t="s">
        <v>75</v>
      </c>
      <c r="L19">
        <v>37</v>
      </c>
      <c r="M19" t="s">
        <v>45</v>
      </c>
      <c r="N19" t="s">
        <v>26</v>
      </c>
      <c r="O19">
        <v>28</v>
      </c>
      <c r="P19" t="s">
        <v>27</v>
      </c>
      <c r="Q19">
        <v>3</v>
      </c>
      <c r="R19" s="2">
        <v>649</v>
      </c>
      <c r="S19" t="str">
        <f t="shared" si="0"/>
        <v>Young Professionals</v>
      </c>
      <c r="T19" t="str">
        <f t="shared" si="1"/>
        <v>Engaged Viewer</v>
      </c>
    </row>
    <row r="20" spans="1:20" x14ac:dyDescent="0.3">
      <c r="A20" t="s">
        <v>76</v>
      </c>
      <c r="B20" s="1">
        <v>44821</v>
      </c>
      <c r="C20">
        <v>2022</v>
      </c>
      <c r="D20" t="s">
        <v>60</v>
      </c>
      <c r="E20" t="s">
        <v>43</v>
      </c>
      <c r="F20" t="s">
        <v>21</v>
      </c>
      <c r="G20">
        <v>54</v>
      </c>
      <c r="H20" t="s">
        <v>22</v>
      </c>
      <c r="I20" t="s">
        <v>23</v>
      </c>
      <c r="J20" s="2">
        <v>499</v>
      </c>
      <c r="K20" t="s">
        <v>30</v>
      </c>
      <c r="L20">
        <v>47</v>
      </c>
      <c r="M20" t="s">
        <v>25</v>
      </c>
      <c r="N20" t="s">
        <v>26</v>
      </c>
      <c r="O20">
        <v>25</v>
      </c>
      <c r="P20" t="s">
        <v>27</v>
      </c>
      <c r="Q20">
        <v>4</v>
      </c>
      <c r="R20" s="2">
        <v>499</v>
      </c>
      <c r="S20" t="str">
        <f t="shared" si="0"/>
        <v>Mature viewer</v>
      </c>
      <c r="T20" t="str">
        <f t="shared" si="1"/>
        <v>Engaged Viewer</v>
      </c>
    </row>
    <row r="21" spans="1:20" x14ac:dyDescent="0.3">
      <c r="A21" t="s">
        <v>77</v>
      </c>
      <c r="B21" s="1">
        <v>44657</v>
      </c>
      <c r="C21">
        <v>2022</v>
      </c>
      <c r="D21" t="s">
        <v>51</v>
      </c>
      <c r="E21" t="s">
        <v>35</v>
      </c>
      <c r="F21" t="s">
        <v>63</v>
      </c>
      <c r="G21">
        <v>51</v>
      </c>
      <c r="H21" t="s">
        <v>22</v>
      </c>
      <c r="I21" t="s">
        <v>23</v>
      </c>
      <c r="J21" s="2">
        <v>499</v>
      </c>
      <c r="K21" t="s">
        <v>44</v>
      </c>
      <c r="L21">
        <v>34</v>
      </c>
      <c r="M21" t="s">
        <v>45</v>
      </c>
      <c r="N21" t="s">
        <v>58</v>
      </c>
      <c r="O21">
        <v>16</v>
      </c>
      <c r="P21" t="s">
        <v>27</v>
      </c>
      <c r="Q21">
        <v>3</v>
      </c>
      <c r="R21" s="2">
        <v>499</v>
      </c>
      <c r="S21" t="str">
        <f t="shared" si="0"/>
        <v>Mature viewer</v>
      </c>
      <c r="T21" t="str">
        <f t="shared" si="1"/>
        <v>Regular Viewer</v>
      </c>
    </row>
    <row r="22" spans="1:20" x14ac:dyDescent="0.3">
      <c r="A22" t="s">
        <v>78</v>
      </c>
      <c r="B22" s="1">
        <v>44703</v>
      </c>
      <c r="C22">
        <v>2022</v>
      </c>
      <c r="D22" t="s">
        <v>79</v>
      </c>
      <c r="E22" t="s">
        <v>52</v>
      </c>
      <c r="F22" t="s">
        <v>63</v>
      </c>
      <c r="G22">
        <v>37</v>
      </c>
      <c r="H22" t="s">
        <v>22</v>
      </c>
      <c r="I22" t="s">
        <v>37</v>
      </c>
      <c r="J22" s="2">
        <v>199</v>
      </c>
      <c r="K22" t="s">
        <v>49</v>
      </c>
      <c r="L22">
        <v>52</v>
      </c>
      <c r="M22" t="s">
        <v>45</v>
      </c>
      <c r="N22" t="s">
        <v>55</v>
      </c>
      <c r="O22">
        <v>38</v>
      </c>
      <c r="P22" t="s">
        <v>27</v>
      </c>
      <c r="Q22">
        <v>4</v>
      </c>
      <c r="R22" s="2">
        <v>199</v>
      </c>
      <c r="S22" t="str">
        <f t="shared" si="0"/>
        <v>mid career adult</v>
      </c>
      <c r="T22" t="str">
        <f t="shared" si="1"/>
        <v>Binge watcher</v>
      </c>
    </row>
    <row r="23" spans="1:20" x14ac:dyDescent="0.3">
      <c r="A23" t="s">
        <v>80</v>
      </c>
      <c r="B23" s="1">
        <v>44633</v>
      </c>
      <c r="C23">
        <v>2022</v>
      </c>
      <c r="D23" t="s">
        <v>66</v>
      </c>
      <c r="E23" t="s">
        <v>35</v>
      </c>
      <c r="F23" t="s">
        <v>63</v>
      </c>
      <c r="G23">
        <v>20</v>
      </c>
      <c r="H23" t="s">
        <v>22</v>
      </c>
      <c r="I23" t="s">
        <v>37</v>
      </c>
      <c r="J23" s="2">
        <v>199</v>
      </c>
      <c r="K23" t="s">
        <v>24</v>
      </c>
      <c r="L23">
        <v>28</v>
      </c>
      <c r="M23" t="s">
        <v>45</v>
      </c>
      <c r="N23" t="s">
        <v>58</v>
      </c>
      <c r="O23">
        <v>3</v>
      </c>
      <c r="P23" t="s">
        <v>27</v>
      </c>
      <c r="Q23">
        <v>3</v>
      </c>
      <c r="R23" s="2">
        <v>199</v>
      </c>
      <c r="S23" t="str">
        <f t="shared" si="0"/>
        <v>Genz viewer</v>
      </c>
      <c r="T23" t="str">
        <f t="shared" si="1"/>
        <v>Regular Viewer</v>
      </c>
    </row>
    <row r="24" spans="1:20" x14ac:dyDescent="0.3">
      <c r="A24" t="s">
        <v>81</v>
      </c>
      <c r="B24" s="1">
        <v>45264</v>
      </c>
      <c r="C24">
        <v>2023</v>
      </c>
      <c r="D24" t="s">
        <v>39</v>
      </c>
      <c r="E24" t="s">
        <v>52</v>
      </c>
      <c r="F24" t="s">
        <v>63</v>
      </c>
      <c r="G24">
        <v>29</v>
      </c>
      <c r="H24" t="s">
        <v>36</v>
      </c>
      <c r="I24" t="s">
        <v>23</v>
      </c>
      <c r="J24" s="2">
        <v>499</v>
      </c>
      <c r="K24" t="s">
        <v>75</v>
      </c>
      <c r="L24">
        <v>26</v>
      </c>
      <c r="M24" t="s">
        <v>31</v>
      </c>
      <c r="N24" t="s">
        <v>55</v>
      </c>
      <c r="O24">
        <v>1</v>
      </c>
      <c r="P24" t="s">
        <v>27</v>
      </c>
      <c r="Q24">
        <v>4</v>
      </c>
      <c r="R24" s="2">
        <v>499</v>
      </c>
      <c r="S24" t="str">
        <f t="shared" si="0"/>
        <v>Young Professionals</v>
      </c>
      <c r="T24" t="str">
        <f t="shared" si="1"/>
        <v>Regular Viewer</v>
      </c>
    </row>
    <row r="25" spans="1:20" x14ac:dyDescent="0.3">
      <c r="A25" t="s">
        <v>82</v>
      </c>
      <c r="B25" s="1">
        <v>45568</v>
      </c>
      <c r="C25">
        <v>2024</v>
      </c>
      <c r="D25" t="s">
        <v>47</v>
      </c>
      <c r="E25" t="s">
        <v>20</v>
      </c>
      <c r="F25" t="s">
        <v>63</v>
      </c>
      <c r="G25">
        <v>35</v>
      </c>
      <c r="H25" t="s">
        <v>22</v>
      </c>
      <c r="I25" t="s">
        <v>37</v>
      </c>
      <c r="J25" s="2">
        <v>199</v>
      </c>
      <c r="K25" t="s">
        <v>24</v>
      </c>
      <c r="L25">
        <v>26</v>
      </c>
      <c r="M25" t="s">
        <v>31</v>
      </c>
      <c r="N25" t="s">
        <v>55</v>
      </c>
      <c r="O25">
        <v>39</v>
      </c>
      <c r="P25" t="s">
        <v>27</v>
      </c>
      <c r="Q25">
        <v>4</v>
      </c>
      <c r="R25" s="2">
        <v>199</v>
      </c>
      <c r="S25" t="str">
        <f t="shared" si="0"/>
        <v>mid career adult</v>
      </c>
      <c r="T25" t="str">
        <f t="shared" si="1"/>
        <v>Regular Viewer</v>
      </c>
    </row>
    <row r="26" spans="1:20" x14ac:dyDescent="0.3">
      <c r="A26" t="s">
        <v>83</v>
      </c>
      <c r="B26" s="1">
        <v>45505</v>
      </c>
      <c r="C26">
        <v>2024</v>
      </c>
      <c r="D26" t="s">
        <v>34</v>
      </c>
      <c r="E26" t="s">
        <v>35</v>
      </c>
      <c r="F26" t="s">
        <v>63</v>
      </c>
      <c r="G26">
        <v>38</v>
      </c>
      <c r="H26" t="s">
        <v>22</v>
      </c>
      <c r="I26" t="s">
        <v>23</v>
      </c>
      <c r="J26" s="2">
        <v>499</v>
      </c>
      <c r="K26" t="s">
        <v>57</v>
      </c>
      <c r="L26">
        <v>48</v>
      </c>
      <c r="M26" t="s">
        <v>45</v>
      </c>
      <c r="N26" t="s">
        <v>32</v>
      </c>
      <c r="O26">
        <v>37</v>
      </c>
      <c r="P26" t="s">
        <v>27</v>
      </c>
      <c r="Q26">
        <v>3</v>
      </c>
      <c r="R26" s="2">
        <v>499</v>
      </c>
      <c r="S26" t="str">
        <f t="shared" si="0"/>
        <v>mid career adult</v>
      </c>
      <c r="T26" t="str">
        <f t="shared" si="1"/>
        <v>Engaged Viewer</v>
      </c>
    </row>
    <row r="27" spans="1:20" x14ac:dyDescent="0.3">
      <c r="A27" t="s">
        <v>84</v>
      </c>
      <c r="B27" s="1">
        <v>44773</v>
      </c>
      <c r="C27">
        <v>2022</v>
      </c>
      <c r="D27" t="s">
        <v>85</v>
      </c>
      <c r="E27" t="s">
        <v>43</v>
      </c>
      <c r="F27" t="s">
        <v>29</v>
      </c>
      <c r="G27">
        <v>45</v>
      </c>
      <c r="H27" t="s">
        <v>22</v>
      </c>
      <c r="I27" t="s">
        <v>23</v>
      </c>
      <c r="J27" s="2">
        <v>499</v>
      </c>
      <c r="K27" t="s">
        <v>49</v>
      </c>
      <c r="L27">
        <v>36</v>
      </c>
      <c r="M27" t="s">
        <v>45</v>
      </c>
      <c r="N27" t="s">
        <v>55</v>
      </c>
      <c r="O27">
        <v>16</v>
      </c>
      <c r="P27" t="s">
        <v>27</v>
      </c>
      <c r="Q27">
        <v>5</v>
      </c>
      <c r="R27" s="2">
        <v>499</v>
      </c>
      <c r="S27" t="str">
        <f t="shared" si="0"/>
        <v>Mature viewer</v>
      </c>
      <c r="T27" t="str">
        <f t="shared" si="1"/>
        <v>Engaged Viewer</v>
      </c>
    </row>
    <row r="28" spans="1:20" x14ac:dyDescent="0.3">
      <c r="A28" t="s">
        <v>86</v>
      </c>
      <c r="B28" s="1">
        <v>45034</v>
      </c>
      <c r="C28">
        <v>2023</v>
      </c>
      <c r="D28" t="s">
        <v>51</v>
      </c>
      <c r="E28" t="s">
        <v>20</v>
      </c>
      <c r="F28" t="s">
        <v>63</v>
      </c>
      <c r="G28">
        <v>20</v>
      </c>
      <c r="H28" t="s">
        <v>22</v>
      </c>
      <c r="I28" t="s">
        <v>37</v>
      </c>
      <c r="J28" s="2">
        <v>199</v>
      </c>
      <c r="K28" t="s">
        <v>53</v>
      </c>
      <c r="L28">
        <v>37</v>
      </c>
      <c r="M28" t="s">
        <v>41</v>
      </c>
      <c r="N28" t="s">
        <v>55</v>
      </c>
      <c r="O28">
        <v>25</v>
      </c>
      <c r="P28" t="s">
        <v>27</v>
      </c>
      <c r="Q28">
        <v>4</v>
      </c>
      <c r="R28" s="2">
        <v>199</v>
      </c>
      <c r="S28" t="str">
        <f t="shared" si="0"/>
        <v>Genz viewer</v>
      </c>
      <c r="T28" t="str">
        <f t="shared" si="1"/>
        <v>Engaged Viewer</v>
      </c>
    </row>
    <row r="29" spans="1:20" x14ac:dyDescent="0.3">
      <c r="A29" t="s">
        <v>87</v>
      </c>
      <c r="B29" s="1">
        <v>44864</v>
      </c>
      <c r="C29">
        <v>2022</v>
      </c>
      <c r="D29" t="s">
        <v>47</v>
      </c>
      <c r="E29" t="s">
        <v>35</v>
      </c>
      <c r="F29" t="s">
        <v>63</v>
      </c>
      <c r="G29">
        <v>29</v>
      </c>
      <c r="H29" t="s">
        <v>36</v>
      </c>
      <c r="I29" t="s">
        <v>48</v>
      </c>
      <c r="J29" s="2">
        <v>649</v>
      </c>
      <c r="K29" t="s">
        <v>57</v>
      </c>
      <c r="L29">
        <v>37</v>
      </c>
      <c r="M29" t="s">
        <v>41</v>
      </c>
      <c r="N29" t="s">
        <v>55</v>
      </c>
      <c r="O29">
        <v>7</v>
      </c>
      <c r="P29" t="s">
        <v>27</v>
      </c>
      <c r="Q29">
        <v>5</v>
      </c>
      <c r="R29" s="2">
        <v>649</v>
      </c>
      <c r="S29" t="str">
        <f t="shared" si="0"/>
        <v>Young Professionals</v>
      </c>
      <c r="T29" t="str">
        <f t="shared" si="1"/>
        <v>Engaged Viewer</v>
      </c>
    </row>
    <row r="30" spans="1:20" x14ac:dyDescent="0.3">
      <c r="A30" t="s">
        <v>88</v>
      </c>
      <c r="B30" s="1">
        <v>45532</v>
      </c>
      <c r="C30">
        <v>2024</v>
      </c>
      <c r="D30" t="s">
        <v>34</v>
      </c>
      <c r="E30" t="s">
        <v>20</v>
      </c>
      <c r="F30" t="s">
        <v>21</v>
      </c>
      <c r="G30">
        <v>34</v>
      </c>
      <c r="H30" t="s">
        <v>36</v>
      </c>
      <c r="I30" t="s">
        <v>37</v>
      </c>
      <c r="J30" s="2">
        <v>199</v>
      </c>
      <c r="K30" t="s">
        <v>53</v>
      </c>
      <c r="L30">
        <v>44</v>
      </c>
      <c r="M30" t="s">
        <v>31</v>
      </c>
      <c r="N30" t="s">
        <v>58</v>
      </c>
      <c r="O30">
        <v>33</v>
      </c>
      <c r="P30" t="s">
        <v>27</v>
      </c>
      <c r="Q30">
        <v>3</v>
      </c>
      <c r="R30" s="2">
        <v>199</v>
      </c>
      <c r="S30" t="str">
        <f t="shared" si="0"/>
        <v>Young Professionals</v>
      </c>
      <c r="T30" t="str">
        <f t="shared" si="1"/>
        <v>Engaged Viewer</v>
      </c>
    </row>
    <row r="31" spans="1:20" x14ac:dyDescent="0.3">
      <c r="A31" t="s">
        <v>89</v>
      </c>
      <c r="B31" s="1">
        <v>45045</v>
      </c>
      <c r="C31">
        <v>2023</v>
      </c>
      <c r="D31" t="s">
        <v>51</v>
      </c>
      <c r="E31" t="s">
        <v>52</v>
      </c>
      <c r="F31" t="s">
        <v>21</v>
      </c>
      <c r="G31">
        <v>50</v>
      </c>
      <c r="H31" t="s">
        <v>22</v>
      </c>
      <c r="I31" t="s">
        <v>37</v>
      </c>
      <c r="J31" s="2">
        <v>199</v>
      </c>
      <c r="K31" t="s">
        <v>30</v>
      </c>
      <c r="L31">
        <v>35</v>
      </c>
      <c r="M31" t="s">
        <v>45</v>
      </c>
      <c r="N31" t="s">
        <v>58</v>
      </c>
      <c r="O31">
        <v>1</v>
      </c>
      <c r="P31" t="s">
        <v>27</v>
      </c>
      <c r="Q31">
        <v>4</v>
      </c>
      <c r="R31" s="2">
        <v>199</v>
      </c>
      <c r="S31" t="str">
        <f t="shared" si="0"/>
        <v>Mature viewer</v>
      </c>
      <c r="T31" t="str">
        <f t="shared" si="1"/>
        <v>Regular Viewer</v>
      </c>
    </row>
    <row r="32" spans="1:20" x14ac:dyDescent="0.3">
      <c r="A32" t="s">
        <v>90</v>
      </c>
      <c r="B32" s="1">
        <v>45228</v>
      </c>
      <c r="C32">
        <v>2023</v>
      </c>
      <c r="D32" t="s">
        <v>47</v>
      </c>
      <c r="E32" t="s">
        <v>52</v>
      </c>
      <c r="F32" t="s">
        <v>63</v>
      </c>
      <c r="G32">
        <v>40</v>
      </c>
      <c r="H32" t="s">
        <v>36</v>
      </c>
      <c r="I32" t="s">
        <v>23</v>
      </c>
      <c r="J32" s="2">
        <v>499</v>
      </c>
      <c r="K32" t="s">
        <v>53</v>
      </c>
      <c r="L32">
        <v>30</v>
      </c>
      <c r="M32" t="s">
        <v>41</v>
      </c>
      <c r="N32" t="s">
        <v>58</v>
      </c>
      <c r="O32">
        <v>30</v>
      </c>
      <c r="P32" t="s">
        <v>27</v>
      </c>
      <c r="Q32">
        <v>4</v>
      </c>
      <c r="R32" s="2">
        <v>499</v>
      </c>
      <c r="S32" t="str">
        <f t="shared" si="0"/>
        <v>mid career adult</v>
      </c>
      <c r="T32" t="str">
        <f t="shared" si="1"/>
        <v>Regular Viewer</v>
      </c>
    </row>
    <row r="33" spans="1:20" x14ac:dyDescent="0.3">
      <c r="A33" t="s">
        <v>91</v>
      </c>
      <c r="B33" s="1">
        <v>45632</v>
      </c>
      <c r="C33">
        <v>2024</v>
      </c>
      <c r="D33" t="s">
        <v>39</v>
      </c>
      <c r="E33" t="s">
        <v>43</v>
      </c>
      <c r="F33" t="s">
        <v>63</v>
      </c>
      <c r="G33">
        <v>32</v>
      </c>
      <c r="H33" t="s">
        <v>36</v>
      </c>
      <c r="I33" t="s">
        <v>23</v>
      </c>
      <c r="J33" s="2">
        <v>499</v>
      </c>
      <c r="K33" t="s">
        <v>49</v>
      </c>
      <c r="L33">
        <v>54</v>
      </c>
      <c r="M33" t="s">
        <v>41</v>
      </c>
      <c r="N33" t="s">
        <v>26</v>
      </c>
      <c r="O33">
        <v>45</v>
      </c>
      <c r="P33" t="s">
        <v>27</v>
      </c>
      <c r="Q33">
        <v>5</v>
      </c>
      <c r="R33" s="2">
        <v>499</v>
      </c>
      <c r="S33" t="str">
        <f t="shared" si="0"/>
        <v>Young Professionals</v>
      </c>
      <c r="T33" t="str">
        <f t="shared" si="1"/>
        <v>Binge watcher</v>
      </c>
    </row>
    <row r="34" spans="1:20" x14ac:dyDescent="0.3">
      <c r="A34" t="s">
        <v>92</v>
      </c>
      <c r="B34" s="1">
        <v>46007</v>
      </c>
      <c r="C34">
        <v>2025</v>
      </c>
      <c r="D34" t="s">
        <v>39</v>
      </c>
      <c r="E34" t="s">
        <v>35</v>
      </c>
      <c r="F34" t="s">
        <v>21</v>
      </c>
      <c r="G34">
        <v>18</v>
      </c>
      <c r="H34" t="s">
        <v>36</v>
      </c>
      <c r="I34" t="s">
        <v>23</v>
      </c>
      <c r="J34" s="2">
        <v>499</v>
      </c>
      <c r="K34" t="s">
        <v>57</v>
      </c>
      <c r="L34">
        <v>38</v>
      </c>
      <c r="M34" t="s">
        <v>25</v>
      </c>
      <c r="N34" t="s">
        <v>32</v>
      </c>
      <c r="O34">
        <v>36</v>
      </c>
      <c r="P34" t="s">
        <v>27</v>
      </c>
      <c r="Q34">
        <v>4</v>
      </c>
      <c r="R34" s="2">
        <v>499</v>
      </c>
      <c r="S34" t="str">
        <f t="shared" si="0"/>
        <v>Genz viewer</v>
      </c>
      <c r="T34" t="str">
        <f t="shared" si="1"/>
        <v>Engaged Viewer</v>
      </c>
    </row>
    <row r="35" spans="1:20" x14ac:dyDescent="0.3">
      <c r="A35" t="s">
        <v>93</v>
      </c>
      <c r="B35" s="1">
        <v>45782</v>
      </c>
      <c r="C35">
        <v>2025</v>
      </c>
      <c r="D35" t="s">
        <v>79</v>
      </c>
      <c r="E35" t="s">
        <v>43</v>
      </c>
      <c r="F35" t="s">
        <v>63</v>
      </c>
      <c r="G35">
        <v>55</v>
      </c>
      <c r="H35" t="s">
        <v>22</v>
      </c>
      <c r="I35" t="s">
        <v>48</v>
      </c>
      <c r="J35" s="2">
        <v>649</v>
      </c>
      <c r="K35" t="s">
        <v>53</v>
      </c>
      <c r="L35">
        <v>41</v>
      </c>
      <c r="M35" t="s">
        <v>41</v>
      </c>
      <c r="N35" t="s">
        <v>58</v>
      </c>
      <c r="O35">
        <v>16</v>
      </c>
      <c r="P35" t="s">
        <v>27</v>
      </c>
      <c r="Q35">
        <v>3</v>
      </c>
      <c r="R35" s="2">
        <v>649</v>
      </c>
      <c r="S35" t="str">
        <f t="shared" si="0"/>
        <v>senior viewer</v>
      </c>
      <c r="T35" t="str">
        <f t="shared" si="1"/>
        <v>Engaged Viewer</v>
      </c>
    </row>
    <row r="36" spans="1:20" x14ac:dyDescent="0.3">
      <c r="A36" t="s">
        <v>94</v>
      </c>
      <c r="B36" s="1">
        <v>45933</v>
      </c>
      <c r="C36">
        <v>2025</v>
      </c>
      <c r="D36" t="s">
        <v>47</v>
      </c>
      <c r="E36" t="s">
        <v>52</v>
      </c>
      <c r="F36" t="s">
        <v>63</v>
      </c>
      <c r="G36">
        <v>19</v>
      </c>
      <c r="H36" t="s">
        <v>36</v>
      </c>
      <c r="I36" t="s">
        <v>37</v>
      </c>
      <c r="J36" s="2">
        <v>199</v>
      </c>
      <c r="K36" t="s">
        <v>75</v>
      </c>
      <c r="L36">
        <v>49</v>
      </c>
      <c r="M36" t="s">
        <v>31</v>
      </c>
      <c r="N36" t="s">
        <v>55</v>
      </c>
      <c r="O36">
        <v>8</v>
      </c>
      <c r="P36" t="s">
        <v>27</v>
      </c>
      <c r="Q36">
        <v>4</v>
      </c>
      <c r="R36" s="2">
        <v>199</v>
      </c>
      <c r="S36" t="str">
        <f t="shared" si="0"/>
        <v>Genz viewer</v>
      </c>
      <c r="T36" t="str">
        <f t="shared" si="1"/>
        <v>Engaged Viewer</v>
      </c>
    </row>
    <row r="37" spans="1:20" x14ac:dyDescent="0.3">
      <c r="A37" t="s">
        <v>95</v>
      </c>
      <c r="B37" s="1">
        <v>45249</v>
      </c>
      <c r="C37">
        <v>2023</v>
      </c>
      <c r="D37" t="s">
        <v>19</v>
      </c>
      <c r="E37" t="s">
        <v>35</v>
      </c>
      <c r="F37" t="s">
        <v>21</v>
      </c>
      <c r="G37">
        <v>51</v>
      </c>
      <c r="H37" t="s">
        <v>36</v>
      </c>
      <c r="I37" t="s">
        <v>23</v>
      </c>
      <c r="J37" s="2">
        <v>499</v>
      </c>
      <c r="K37" t="s">
        <v>30</v>
      </c>
      <c r="L37">
        <v>40</v>
      </c>
      <c r="M37" t="s">
        <v>41</v>
      </c>
      <c r="N37" t="s">
        <v>58</v>
      </c>
      <c r="O37">
        <v>44</v>
      </c>
      <c r="P37" t="s">
        <v>27</v>
      </c>
      <c r="Q37">
        <v>4</v>
      </c>
      <c r="R37" s="2">
        <v>499</v>
      </c>
      <c r="S37" t="str">
        <f t="shared" si="0"/>
        <v>Mature viewer</v>
      </c>
      <c r="T37" t="str">
        <f t="shared" si="1"/>
        <v>Engaged Viewer</v>
      </c>
    </row>
    <row r="38" spans="1:20" x14ac:dyDescent="0.3">
      <c r="A38" t="s">
        <v>96</v>
      </c>
      <c r="B38" s="1">
        <v>45479</v>
      </c>
      <c r="C38">
        <v>2024</v>
      </c>
      <c r="D38" t="s">
        <v>85</v>
      </c>
      <c r="E38" t="s">
        <v>52</v>
      </c>
      <c r="F38" t="s">
        <v>63</v>
      </c>
      <c r="G38">
        <v>48</v>
      </c>
      <c r="H38" t="s">
        <v>36</v>
      </c>
      <c r="I38" t="s">
        <v>23</v>
      </c>
      <c r="J38" s="2">
        <v>499</v>
      </c>
      <c r="K38" t="s">
        <v>57</v>
      </c>
      <c r="L38">
        <v>58</v>
      </c>
      <c r="M38" t="s">
        <v>45</v>
      </c>
      <c r="N38" t="s">
        <v>32</v>
      </c>
      <c r="O38">
        <v>16</v>
      </c>
      <c r="P38" t="s">
        <v>27</v>
      </c>
      <c r="Q38">
        <v>3</v>
      </c>
      <c r="R38" s="2">
        <v>499</v>
      </c>
      <c r="S38" t="str">
        <f t="shared" si="0"/>
        <v>Mature viewer</v>
      </c>
      <c r="T38" t="str">
        <f t="shared" si="1"/>
        <v>Binge watcher</v>
      </c>
    </row>
    <row r="39" spans="1:20" x14ac:dyDescent="0.3">
      <c r="A39" t="s">
        <v>97</v>
      </c>
      <c r="B39" s="1">
        <v>45401</v>
      </c>
      <c r="C39">
        <v>2024</v>
      </c>
      <c r="D39" t="s">
        <v>51</v>
      </c>
      <c r="E39" t="s">
        <v>35</v>
      </c>
      <c r="F39" t="s">
        <v>29</v>
      </c>
      <c r="G39">
        <v>51</v>
      </c>
      <c r="H39" t="s">
        <v>22</v>
      </c>
      <c r="I39" t="s">
        <v>37</v>
      </c>
      <c r="J39" s="2">
        <v>199</v>
      </c>
      <c r="K39" t="s">
        <v>24</v>
      </c>
      <c r="L39">
        <v>43</v>
      </c>
      <c r="M39" t="s">
        <v>31</v>
      </c>
      <c r="N39" t="s">
        <v>32</v>
      </c>
      <c r="O39">
        <v>27</v>
      </c>
      <c r="P39" t="s">
        <v>27</v>
      </c>
      <c r="Q39">
        <v>4</v>
      </c>
      <c r="R39" s="2">
        <v>199</v>
      </c>
      <c r="S39" t="str">
        <f t="shared" si="0"/>
        <v>Mature viewer</v>
      </c>
      <c r="T39" t="str">
        <f t="shared" si="1"/>
        <v>Engaged Viewer</v>
      </c>
    </row>
    <row r="40" spans="1:20" x14ac:dyDescent="0.3">
      <c r="A40" t="s">
        <v>98</v>
      </c>
      <c r="B40" s="1">
        <v>45202</v>
      </c>
      <c r="C40">
        <v>2023</v>
      </c>
      <c r="D40" t="s">
        <v>47</v>
      </c>
      <c r="E40" t="s">
        <v>52</v>
      </c>
      <c r="F40" t="s">
        <v>21</v>
      </c>
      <c r="G40">
        <v>49</v>
      </c>
      <c r="H40" t="s">
        <v>22</v>
      </c>
      <c r="I40" t="s">
        <v>23</v>
      </c>
      <c r="J40" s="2">
        <v>499</v>
      </c>
      <c r="K40" t="s">
        <v>30</v>
      </c>
      <c r="L40">
        <v>45</v>
      </c>
      <c r="M40" t="s">
        <v>31</v>
      </c>
      <c r="N40" t="s">
        <v>26</v>
      </c>
      <c r="O40">
        <v>2</v>
      </c>
      <c r="P40" t="s">
        <v>27</v>
      </c>
      <c r="Q40">
        <v>4</v>
      </c>
      <c r="R40" s="2">
        <v>499</v>
      </c>
      <c r="S40" t="str">
        <f t="shared" si="0"/>
        <v>Mature viewer</v>
      </c>
      <c r="T40" t="str">
        <f t="shared" si="1"/>
        <v>Engaged Viewer</v>
      </c>
    </row>
    <row r="41" spans="1:20" x14ac:dyDescent="0.3">
      <c r="A41" t="s">
        <v>99</v>
      </c>
      <c r="B41" s="1">
        <v>45520</v>
      </c>
      <c r="C41">
        <v>2024</v>
      </c>
      <c r="D41" t="s">
        <v>34</v>
      </c>
      <c r="E41" t="s">
        <v>20</v>
      </c>
      <c r="F41" t="s">
        <v>21</v>
      </c>
      <c r="G41">
        <v>49</v>
      </c>
      <c r="H41" t="s">
        <v>22</v>
      </c>
      <c r="I41" t="s">
        <v>37</v>
      </c>
      <c r="J41" s="2">
        <v>199</v>
      </c>
      <c r="K41" t="s">
        <v>67</v>
      </c>
      <c r="L41">
        <v>37</v>
      </c>
      <c r="M41" t="s">
        <v>31</v>
      </c>
      <c r="N41" t="s">
        <v>32</v>
      </c>
      <c r="O41">
        <v>48</v>
      </c>
      <c r="P41" t="s">
        <v>27</v>
      </c>
      <c r="Q41">
        <v>5</v>
      </c>
      <c r="R41" s="2">
        <v>199</v>
      </c>
      <c r="S41" t="str">
        <f t="shared" si="0"/>
        <v>Mature viewer</v>
      </c>
      <c r="T41" t="str">
        <f t="shared" si="1"/>
        <v>Engaged Viewer</v>
      </c>
    </row>
    <row r="42" spans="1:20" x14ac:dyDescent="0.3">
      <c r="A42" t="s">
        <v>100</v>
      </c>
      <c r="B42" s="1">
        <v>45999</v>
      </c>
      <c r="C42">
        <v>2025</v>
      </c>
      <c r="D42" t="s">
        <v>39</v>
      </c>
      <c r="E42" t="s">
        <v>43</v>
      </c>
      <c r="F42" t="s">
        <v>29</v>
      </c>
      <c r="G42">
        <v>18</v>
      </c>
      <c r="H42" t="s">
        <v>22</v>
      </c>
      <c r="I42" t="s">
        <v>48</v>
      </c>
      <c r="J42" s="2">
        <v>649</v>
      </c>
      <c r="K42" t="s">
        <v>44</v>
      </c>
      <c r="L42">
        <v>30</v>
      </c>
      <c r="M42" t="s">
        <v>45</v>
      </c>
      <c r="N42" t="s">
        <v>55</v>
      </c>
      <c r="O42">
        <v>2</v>
      </c>
      <c r="P42" t="s">
        <v>27</v>
      </c>
      <c r="Q42">
        <v>5</v>
      </c>
      <c r="R42" s="2">
        <v>649</v>
      </c>
      <c r="S42" t="str">
        <f t="shared" si="0"/>
        <v>Genz viewer</v>
      </c>
      <c r="T42" t="str">
        <f t="shared" si="1"/>
        <v>Regular Viewer</v>
      </c>
    </row>
    <row r="43" spans="1:20" x14ac:dyDescent="0.3">
      <c r="A43" t="s">
        <v>101</v>
      </c>
      <c r="B43" s="1">
        <v>45127</v>
      </c>
      <c r="C43">
        <v>2023</v>
      </c>
      <c r="D43" t="s">
        <v>85</v>
      </c>
      <c r="E43" t="s">
        <v>20</v>
      </c>
      <c r="F43" t="s">
        <v>63</v>
      </c>
      <c r="G43">
        <v>29</v>
      </c>
      <c r="H43" t="s">
        <v>22</v>
      </c>
      <c r="I43" t="s">
        <v>48</v>
      </c>
      <c r="J43" s="2">
        <v>649</v>
      </c>
      <c r="K43" t="s">
        <v>49</v>
      </c>
      <c r="L43">
        <v>50</v>
      </c>
      <c r="M43" t="s">
        <v>25</v>
      </c>
      <c r="N43" t="s">
        <v>32</v>
      </c>
      <c r="O43">
        <v>38</v>
      </c>
      <c r="P43" t="s">
        <v>27</v>
      </c>
      <c r="Q43">
        <v>4</v>
      </c>
      <c r="R43" s="2">
        <v>649</v>
      </c>
      <c r="S43" t="str">
        <f t="shared" si="0"/>
        <v>Young Professionals</v>
      </c>
      <c r="T43" t="str">
        <f t="shared" si="1"/>
        <v>Engaged Viewer</v>
      </c>
    </row>
    <row r="44" spans="1:20" x14ac:dyDescent="0.3">
      <c r="A44" t="s">
        <v>102</v>
      </c>
      <c r="B44" s="1">
        <v>45733</v>
      </c>
      <c r="C44">
        <v>2025</v>
      </c>
      <c r="D44" t="s">
        <v>66</v>
      </c>
      <c r="E44" t="s">
        <v>35</v>
      </c>
      <c r="F44" t="s">
        <v>29</v>
      </c>
      <c r="G44">
        <v>52</v>
      </c>
      <c r="H44" t="s">
        <v>22</v>
      </c>
      <c r="I44" t="s">
        <v>37</v>
      </c>
      <c r="J44" s="2">
        <v>199</v>
      </c>
      <c r="K44" t="s">
        <v>75</v>
      </c>
      <c r="L44">
        <v>52</v>
      </c>
      <c r="M44" t="s">
        <v>45</v>
      </c>
      <c r="N44" t="s">
        <v>55</v>
      </c>
      <c r="O44">
        <v>21</v>
      </c>
      <c r="P44" t="s">
        <v>73</v>
      </c>
      <c r="Q44">
        <v>5</v>
      </c>
      <c r="R44" s="2">
        <v>0</v>
      </c>
      <c r="S44" t="str">
        <f t="shared" si="0"/>
        <v>Mature viewer</v>
      </c>
      <c r="T44" t="str">
        <f t="shared" si="1"/>
        <v>Binge watcher</v>
      </c>
    </row>
    <row r="45" spans="1:20" x14ac:dyDescent="0.3">
      <c r="A45" t="s">
        <v>103</v>
      </c>
      <c r="B45" s="1">
        <v>44708</v>
      </c>
      <c r="C45">
        <v>2022</v>
      </c>
      <c r="D45" t="s">
        <v>79</v>
      </c>
      <c r="E45" t="s">
        <v>43</v>
      </c>
      <c r="F45" t="s">
        <v>63</v>
      </c>
      <c r="G45">
        <v>49</v>
      </c>
      <c r="H45" t="s">
        <v>22</v>
      </c>
      <c r="I45" t="s">
        <v>48</v>
      </c>
      <c r="J45" s="2">
        <v>649</v>
      </c>
      <c r="K45" t="s">
        <v>44</v>
      </c>
      <c r="L45">
        <v>45</v>
      </c>
      <c r="M45" t="s">
        <v>45</v>
      </c>
      <c r="N45" t="s">
        <v>32</v>
      </c>
      <c r="O45">
        <v>41</v>
      </c>
      <c r="P45" t="s">
        <v>27</v>
      </c>
      <c r="Q45">
        <v>3</v>
      </c>
      <c r="R45" s="2">
        <v>649</v>
      </c>
      <c r="S45" t="str">
        <f t="shared" si="0"/>
        <v>Mature viewer</v>
      </c>
      <c r="T45" t="str">
        <f t="shared" si="1"/>
        <v>Engaged Viewer</v>
      </c>
    </row>
    <row r="46" spans="1:20" x14ac:dyDescent="0.3">
      <c r="A46" t="s">
        <v>104</v>
      </c>
      <c r="B46" s="1">
        <v>44954</v>
      </c>
      <c r="C46">
        <v>2023</v>
      </c>
      <c r="D46" t="s">
        <v>62</v>
      </c>
      <c r="E46" t="s">
        <v>35</v>
      </c>
      <c r="F46" t="s">
        <v>29</v>
      </c>
      <c r="G46">
        <v>27</v>
      </c>
      <c r="H46" t="s">
        <v>36</v>
      </c>
      <c r="I46" t="s">
        <v>37</v>
      </c>
      <c r="J46" s="2">
        <v>199</v>
      </c>
      <c r="K46" t="s">
        <v>44</v>
      </c>
      <c r="L46">
        <v>58</v>
      </c>
      <c r="M46" t="s">
        <v>41</v>
      </c>
      <c r="N46" t="s">
        <v>55</v>
      </c>
      <c r="O46">
        <v>26</v>
      </c>
      <c r="P46" t="s">
        <v>73</v>
      </c>
      <c r="Q46">
        <v>5</v>
      </c>
      <c r="R46" s="2">
        <v>0</v>
      </c>
      <c r="S46" t="str">
        <f t="shared" si="0"/>
        <v>Young Professionals</v>
      </c>
      <c r="T46" t="str">
        <f t="shared" si="1"/>
        <v>Binge watcher</v>
      </c>
    </row>
    <row r="47" spans="1:20" x14ac:dyDescent="0.3">
      <c r="A47" t="s">
        <v>105</v>
      </c>
      <c r="B47" s="1">
        <v>44715</v>
      </c>
      <c r="C47">
        <v>2022</v>
      </c>
      <c r="D47" t="s">
        <v>69</v>
      </c>
      <c r="E47" t="s">
        <v>43</v>
      </c>
      <c r="F47" t="s">
        <v>29</v>
      </c>
      <c r="G47">
        <v>34</v>
      </c>
      <c r="H47" t="s">
        <v>22</v>
      </c>
      <c r="I47" t="s">
        <v>37</v>
      </c>
      <c r="J47" s="2">
        <v>199</v>
      </c>
      <c r="K47" t="s">
        <v>40</v>
      </c>
      <c r="L47">
        <v>33</v>
      </c>
      <c r="M47" t="s">
        <v>25</v>
      </c>
      <c r="N47" t="s">
        <v>26</v>
      </c>
      <c r="O47">
        <v>16</v>
      </c>
      <c r="P47" t="s">
        <v>73</v>
      </c>
      <c r="Q47">
        <v>4</v>
      </c>
      <c r="R47" s="2">
        <v>0</v>
      </c>
      <c r="S47" t="str">
        <f t="shared" si="0"/>
        <v>Young Professionals</v>
      </c>
      <c r="T47" t="str">
        <f t="shared" si="1"/>
        <v>Regular Viewer</v>
      </c>
    </row>
    <row r="48" spans="1:20" x14ac:dyDescent="0.3">
      <c r="A48" t="s">
        <v>106</v>
      </c>
      <c r="B48" s="1">
        <v>45427</v>
      </c>
      <c r="C48">
        <v>2024</v>
      </c>
      <c r="D48" t="s">
        <v>79</v>
      </c>
      <c r="E48" t="s">
        <v>43</v>
      </c>
      <c r="F48" t="s">
        <v>29</v>
      </c>
      <c r="G48">
        <v>38</v>
      </c>
      <c r="H48" t="s">
        <v>36</v>
      </c>
      <c r="I48" t="s">
        <v>48</v>
      </c>
      <c r="J48" s="2">
        <v>649</v>
      </c>
      <c r="K48" t="s">
        <v>75</v>
      </c>
      <c r="L48">
        <v>56</v>
      </c>
      <c r="M48" t="s">
        <v>31</v>
      </c>
      <c r="N48" t="s">
        <v>26</v>
      </c>
      <c r="O48">
        <v>42</v>
      </c>
      <c r="P48" t="s">
        <v>27</v>
      </c>
      <c r="Q48">
        <v>3</v>
      </c>
      <c r="R48" s="2">
        <v>649</v>
      </c>
      <c r="S48" t="str">
        <f t="shared" si="0"/>
        <v>mid career adult</v>
      </c>
      <c r="T48" t="str">
        <f t="shared" si="1"/>
        <v>Binge watcher</v>
      </c>
    </row>
    <row r="49" spans="1:20" x14ac:dyDescent="0.3">
      <c r="A49" t="s">
        <v>107</v>
      </c>
      <c r="B49" s="1">
        <v>45087</v>
      </c>
      <c r="C49">
        <v>2023</v>
      </c>
      <c r="D49" t="s">
        <v>69</v>
      </c>
      <c r="E49" t="s">
        <v>35</v>
      </c>
      <c r="F49" t="s">
        <v>29</v>
      </c>
      <c r="G49">
        <v>42</v>
      </c>
      <c r="H49" t="s">
        <v>22</v>
      </c>
      <c r="I49" t="s">
        <v>37</v>
      </c>
      <c r="J49" s="2">
        <v>199</v>
      </c>
      <c r="K49" t="s">
        <v>44</v>
      </c>
      <c r="L49">
        <v>51</v>
      </c>
      <c r="M49" t="s">
        <v>25</v>
      </c>
      <c r="N49" t="s">
        <v>32</v>
      </c>
      <c r="O49">
        <v>9</v>
      </c>
      <c r="P49" t="s">
        <v>27</v>
      </c>
      <c r="Q49">
        <v>4</v>
      </c>
      <c r="R49" s="2">
        <v>199</v>
      </c>
      <c r="S49" t="str">
        <f t="shared" si="0"/>
        <v>mid career adult</v>
      </c>
      <c r="T49" t="str">
        <f t="shared" si="1"/>
        <v>Binge watcher</v>
      </c>
    </row>
    <row r="50" spans="1:20" x14ac:dyDescent="0.3">
      <c r="A50" t="s">
        <v>108</v>
      </c>
      <c r="B50" s="1">
        <v>46010</v>
      </c>
      <c r="C50">
        <v>2025</v>
      </c>
      <c r="D50" t="s">
        <v>39</v>
      </c>
      <c r="E50" t="s">
        <v>20</v>
      </c>
      <c r="F50" t="s">
        <v>21</v>
      </c>
      <c r="G50">
        <v>24</v>
      </c>
      <c r="H50" t="s">
        <v>22</v>
      </c>
      <c r="I50" t="s">
        <v>37</v>
      </c>
      <c r="J50" s="2">
        <v>199</v>
      </c>
      <c r="K50" t="s">
        <v>44</v>
      </c>
      <c r="L50">
        <v>60</v>
      </c>
      <c r="M50" t="s">
        <v>25</v>
      </c>
      <c r="N50" t="s">
        <v>55</v>
      </c>
      <c r="O50">
        <v>28</v>
      </c>
      <c r="P50" t="s">
        <v>27</v>
      </c>
      <c r="Q50">
        <v>5</v>
      </c>
      <c r="R50" s="2">
        <v>199</v>
      </c>
      <c r="S50" t="str">
        <f t="shared" si="0"/>
        <v>Genz viewer</v>
      </c>
      <c r="T50" t="str">
        <f t="shared" si="1"/>
        <v>Binge watcher</v>
      </c>
    </row>
    <row r="51" spans="1:20" x14ac:dyDescent="0.3">
      <c r="A51" t="s">
        <v>109</v>
      </c>
      <c r="B51" s="1">
        <v>45134</v>
      </c>
      <c r="C51">
        <v>2023</v>
      </c>
      <c r="D51" t="s">
        <v>85</v>
      </c>
      <c r="E51" t="s">
        <v>20</v>
      </c>
      <c r="F51" t="s">
        <v>63</v>
      </c>
      <c r="G51">
        <v>22</v>
      </c>
      <c r="H51" t="s">
        <v>22</v>
      </c>
      <c r="I51" t="s">
        <v>37</v>
      </c>
      <c r="J51" s="2">
        <v>199</v>
      </c>
      <c r="K51" t="s">
        <v>75</v>
      </c>
      <c r="L51">
        <v>44</v>
      </c>
      <c r="M51" t="s">
        <v>41</v>
      </c>
      <c r="N51" t="s">
        <v>55</v>
      </c>
      <c r="O51">
        <v>4</v>
      </c>
      <c r="P51" t="s">
        <v>73</v>
      </c>
      <c r="Q51">
        <v>3</v>
      </c>
      <c r="R51" s="2">
        <v>0</v>
      </c>
      <c r="S51" t="str">
        <f t="shared" si="0"/>
        <v>Genz viewer</v>
      </c>
      <c r="T51" t="str">
        <f t="shared" si="1"/>
        <v>Engaged Viewer</v>
      </c>
    </row>
    <row r="52" spans="1:20" x14ac:dyDescent="0.3">
      <c r="A52" t="s">
        <v>110</v>
      </c>
      <c r="B52" s="1">
        <v>44613</v>
      </c>
      <c r="C52">
        <v>2022</v>
      </c>
      <c r="D52" t="s">
        <v>111</v>
      </c>
      <c r="E52" t="s">
        <v>20</v>
      </c>
      <c r="F52" t="s">
        <v>21</v>
      </c>
      <c r="G52">
        <v>30</v>
      </c>
      <c r="H52" t="s">
        <v>22</v>
      </c>
      <c r="I52" t="s">
        <v>48</v>
      </c>
      <c r="J52" s="2">
        <v>649</v>
      </c>
      <c r="K52" t="s">
        <v>49</v>
      </c>
      <c r="L52">
        <v>60</v>
      </c>
      <c r="M52" t="s">
        <v>31</v>
      </c>
      <c r="N52" t="s">
        <v>58</v>
      </c>
      <c r="O52">
        <v>5</v>
      </c>
      <c r="P52" t="s">
        <v>27</v>
      </c>
      <c r="Q52">
        <v>3</v>
      </c>
      <c r="R52" s="2">
        <v>649</v>
      </c>
      <c r="S52" t="str">
        <f t="shared" si="0"/>
        <v>Young Professionals</v>
      </c>
      <c r="T52" t="str">
        <f t="shared" si="1"/>
        <v>Binge watcher</v>
      </c>
    </row>
    <row r="53" spans="1:20" x14ac:dyDescent="0.3">
      <c r="A53" t="s">
        <v>112</v>
      </c>
      <c r="B53" s="1">
        <v>44917</v>
      </c>
      <c r="C53">
        <v>2022</v>
      </c>
      <c r="D53" t="s">
        <v>39</v>
      </c>
      <c r="E53" t="s">
        <v>20</v>
      </c>
      <c r="F53" t="s">
        <v>63</v>
      </c>
      <c r="G53">
        <v>47</v>
      </c>
      <c r="H53" t="s">
        <v>36</v>
      </c>
      <c r="I53" t="s">
        <v>23</v>
      </c>
      <c r="J53" s="2">
        <v>499</v>
      </c>
      <c r="K53" t="s">
        <v>67</v>
      </c>
      <c r="L53">
        <v>60</v>
      </c>
      <c r="M53" t="s">
        <v>45</v>
      </c>
      <c r="N53" t="s">
        <v>32</v>
      </c>
      <c r="O53">
        <v>19</v>
      </c>
      <c r="P53" t="s">
        <v>27</v>
      </c>
      <c r="Q53">
        <v>5</v>
      </c>
      <c r="R53" s="2">
        <v>499</v>
      </c>
      <c r="S53" t="str">
        <f t="shared" si="0"/>
        <v>Mature viewer</v>
      </c>
      <c r="T53" t="str">
        <f t="shared" si="1"/>
        <v>Binge watcher</v>
      </c>
    </row>
    <row r="54" spans="1:20" x14ac:dyDescent="0.3">
      <c r="A54" t="s">
        <v>113</v>
      </c>
      <c r="B54" s="1">
        <v>45612</v>
      </c>
      <c r="C54">
        <v>2024</v>
      </c>
      <c r="D54" t="s">
        <v>19</v>
      </c>
      <c r="E54" t="s">
        <v>43</v>
      </c>
      <c r="F54" t="s">
        <v>63</v>
      </c>
      <c r="G54">
        <v>19</v>
      </c>
      <c r="H54" t="s">
        <v>36</v>
      </c>
      <c r="I54" t="s">
        <v>48</v>
      </c>
      <c r="J54" s="2">
        <v>649</v>
      </c>
      <c r="K54" t="s">
        <v>30</v>
      </c>
      <c r="L54">
        <v>22</v>
      </c>
      <c r="M54" t="s">
        <v>45</v>
      </c>
      <c r="N54" t="s">
        <v>32</v>
      </c>
      <c r="O54">
        <v>40</v>
      </c>
      <c r="P54" t="s">
        <v>27</v>
      </c>
      <c r="Q54">
        <v>3</v>
      </c>
      <c r="R54" s="2">
        <v>649</v>
      </c>
      <c r="S54" t="str">
        <f t="shared" si="0"/>
        <v>Genz viewer</v>
      </c>
      <c r="T54" t="str">
        <f t="shared" si="1"/>
        <v>Regular Viewer</v>
      </c>
    </row>
    <row r="55" spans="1:20" x14ac:dyDescent="0.3">
      <c r="A55" t="s">
        <v>114</v>
      </c>
      <c r="B55" s="1">
        <v>44608</v>
      </c>
      <c r="C55">
        <v>2022</v>
      </c>
      <c r="D55" t="s">
        <v>111</v>
      </c>
      <c r="E55" t="s">
        <v>35</v>
      </c>
      <c r="F55" t="s">
        <v>63</v>
      </c>
      <c r="G55">
        <v>51</v>
      </c>
      <c r="H55" t="s">
        <v>22</v>
      </c>
      <c r="I55" t="s">
        <v>37</v>
      </c>
      <c r="J55" s="2">
        <v>199</v>
      </c>
      <c r="K55" t="s">
        <v>44</v>
      </c>
      <c r="L55">
        <v>32</v>
      </c>
      <c r="M55" t="s">
        <v>41</v>
      </c>
      <c r="N55" t="s">
        <v>26</v>
      </c>
      <c r="O55">
        <v>29</v>
      </c>
      <c r="P55" t="s">
        <v>27</v>
      </c>
      <c r="Q55">
        <v>3</v>
      </c>
      <c r="R55" s="2">
        <v>199</v>
      </c>
      <c r="S55" t="str">
        <f t="shared" si="0"/>
        <v>Mature viewer</v>
      </c>
      <c r="T55" t="str">
        <f t="shared" si="1"/>
        <v>Regular Viewer</v>
      </c>
    </row>
    <row r="56" spans="1:20" x14ac:dyDescent="0.3">
      <c r="A56" t="s">
        <v>115</v>
      </c>
      <c r="B56" s="1">
        <v>45875</v>
      </c>
      <c r="C56">
        <v>2025</v>
      </c>
      <c r="D56" t="s">
        <v>34</v>
      </c>
      <c r="E56" t="s">
        <v>52</v>
      </c>
      <c r="F56" t="s">
        <v>63</v>
      </c>
      <c r="G56">
        <v>26</v>
      </c>
      <c r="H56" t="s">
        <v>22</v>
      </c>
      <c r="I56" t="s">
        <v>37</v>
      </c>
      <c r="J56" s="2">
        <v>199</v>
      </c>
      <c r="K56" t="s">
        <v>53</v>
      </c>
      <c r="L56">
        <v>57</v>
      </c>
      <c r="M56" t="s">
        <v>25</v>
      </c>
      <c r="N56" t="s">
        <v>32</v>
      </c>
      <c r="O56">
        <v>16</v>
      </c>
      <c r="P56" t="s">
        <v>73</v>
      </c>
      <c r="Q56">
        <v>2</v>
      </c>
      <c r="R56" s="2">
        <v>0</v>
      </c>
      <c r="S56" t="str">
        <f t="shared" si="0"/>
        <v>Young Professionals</v>
      </c>
      <c r="T56" t="str">
        <f t="shared" si="1"/>
        <v>Binge watcher</v>
      </c>
    </row>
    <row r="57" spans="1:20" x14ac:dyDescent="0.3">
      <c r="A57" t="s">
        <v>116</v>
      </c>
      <c r="B57" s="1">
        <v>45785</v>
      </c>
      <c r="C57">
        <v>2025</v>
      </c>
      <c r="D57" t="s">
        <v>79</v>
      </c>
      <c r="E57" t="s">
        <v>52</v>
      </c>
      <c r="F57" t="s">
        <v>29</v>
      </c>
      <c r="G57">
        <v>46</v>
      </c>
      <c r="H57" t="s">
        <v>36</v>
      </c>
      <c r="I57" t="s">
        <v>37</v>
      </c>
      <c r="J57" s="2">
        <v>199</v>
      </c>
      <c r="K57" t="s">
        <v>24</v>
      </c>
      <c r="L57">
        <v>50</v>
      </c>
      <c r="M57" t="s">
        <v>41</v>
      </c>
      <c r="N57" t="s">
        <v>26</v>
      </c>
      <c r="O57">
        <v>48</v>
      </c>
      <c r="P57" t="s">
        <v>27</v>
      </c>
      <c r="Q57">
        <v>4</v>
      </c>
      <c r="R57" s="2">
        <v>199</v>
      </c>
      <c r="S57" t="str">
        <f t="shared" si="0"/>
        <v>Mature viewer</v>
      </c>
      <c r="T57" t="str">
        <f t="shared" si="1"/>
        <v>Engaged Viewer</v>
      </c>
    </row>
    <row r="58" spans="1:20" x14ac:dyDescent="0.3">
      <c r="A58" t="s">
        <v>117</v>
      </c>
      <c r="B58" s="1">
        <v>44718</v>
      </c>
      <c r="C58">
        <v>2022</v>
      </c>
      <c r="D58" t="s">
        <v>69</v>
      </c>
      <c r="E58" t="s">
        <v>52</v>
      </c>
      <c r="F58" t="s">
        <v>29</v>
      </c>
      <c r="G58">
        <v>25</v>
      </c>
      <c r="H58" t="s">
        <v>36</v>
      </c>
      <c r="I58" t="s">
        <v>37</v>
      </c>
      <c r="J58" s="2">
        <v>199</v>
      </c>
      <c r="K58" t="s">
        <v>40</v>
      </c>
      <c r="L58">
        <v>35</v>
      </c>
      <c r="M58" t="s">
        <v>31</v>
      </c>
      <c r="N58" t="s">
        <v>58</v>
      </c>
      <c r="O58">
        <v>6</v>
      </c>
      <c r="P58" t="s">
        <v>27</v>
      </c>
      <c r="Q58">
        <v>5</v>
      </c>
      <c r="R58" s="2">
        <v>199</v>
      </c>
      <c r="S58" t="str">
        <f t="shared" si="0"/>
        <v>Young Professionals</v>
      </c>
      <c r="T58" t="str">
        <f t="shared" si="1"/>
        <v>Regular Viewer</v>
      </c>
    </row>
    <row r="59" spans="1:20" x14ac:dyDescent="0.3">
      <c r="A59" t="s">
        <v>118</v>
      </c>
      <c r="B59" s="1">
        <v>44681</v>
      </c>
      <c r="C59">
        <v>2022</v>
      </c>
      <c r="D59" t="s">
        <v>51</v>
      </c>
      <c r="E59" t="s">
        <v>20</v>
      </c>
      <c r="F59" t="s">
        <v>29</v>
      </c>
      <c r="G59">
        <v>32</v>
      </c>
      <c r="H59" t="s">
        <v>36</v>
      </c>
      <c r="I59" t="s">
        <v>37</v>
      </c>
      <c r="J59" s="2">
        <v>199</v>
      </c>
      <c r="K59" t="s">
        <v>30</v>
      </c>
      <c r="L59">
        <v>25</v>
      </c>
      <c r="M59" t="s">
        <v>41</v>
      </c>
      <c r="N59" t="s">
        <v>32</v>
      </c>
      <c r="O59">
        <v>12</v>
      </c>
      <c r="P59" t="s">
        <v>27</v>
      </c>
      <c r="Q59">
        <v>4</v>
      </c>
      <c r="R59" s="2">
        <v>199</v>
      </c>
      <c r="S59" t="str">
        <f t="shared" si="0"/>
        <v>Young Professionals</v>
      </c>
      <c r="T59" t="str">
        <f t="shared" si="1"/>
        <v>Regular Viewer</v>
      </c>
    </row>
    <row r="60" spans="1:20" x14ac:dyDescent="0.3">
      <c r="A60" t="s">
        <v>119</v>
      </c>
      <c r="B60" s="1">
        <v>45107</v>
      </c>
      <c r="C60">
        <v>2023</v>
      </c>
      <c r="D60" t="s">
        <v>69</v>
      </c>
      <c r="E60" t="s">
        <v>20</v>
      </c>
      <c r="F60" t="s">
        <v>21</v>
      </c>
      <c r="G60">
        <v>47</v>
      </c>
      <c r="H60" t="s">
        <v>36</v>
      </c>
      <c r="I60" t="s">
        <v>37</v>
      </c>
      <c r="J60" s="2">
        <v>199</v>
      </c>
      <c r="K60" t="s">
        <v>75</v>
      </c>
      <c r="L60">
        <v>23</v>
      </c>
      <c r="M60" t="s">
        <v>45</v>
      </c>
      <c r="N60" t="s">
        <v>58</v>
      </c>
      <c r="O60">
        <v>26</v>
      </c>
      <c r="P60" t="s">
        <v>73</v>
      </c>
      <c r="Q60">
        <v>4</v>
      </c>
      <c r="R60" s="2">
        <v>0</v>
      </c>
      <c r="S60" t="str">
        <f t="shared" si="0"/>
        <v>Mature viewer</v>
      </c>
      <c r="T60" t="str">
        <f t="shared" si="1"/>
        <v>Regular Viewer</v>
      </c>
    </row>
    <row r="61" spans="1:20" x14ac:dyDescent="0.3">
      <c r="A61" t="s">
        <v>120</v>
      </c>
      <c r="B61" s="1">
        <v>44628</v>
      </c>
      <c r="C61">
        <v>2022</v>
      </c>
      <c r="D61" t="s">
        <v>66</v>
      </c>
      <c r="E61" t="s">
        <v>43</v>
      </c>
      <c r="F61" t="s">
        <v>21</v>
      </c>
      <c r="G61">
        <v>21</v>
      </c>
      <c r="H61" t="s">
        <v>36</v>
      </c>
      <c r="I61" t="s">
        <v>23</v>
      </c>
      <c r="J61" s="2">
        <v>499</v>
      </c>
      <c r="K61" t="s">
        <v>40</v>
      </c>
      <c r="L61">
        <v>52</v>
      </c>
      <c r="M61" t="s">
        <v>45</v>
      </c>
      <c r="N61" t="s">
        <v>26</v>
      </c>
      <c r="O61">
        <v>8</v>
      </c>
      <c r="P61" t="s">
        <v>27</v>
      </c>
      <c r="Q61">
        <v>4</v>
      </c>
      <c r="R61" s="2">
        <v>499</v>
      </c>
      <c r="S61" t="str">
        <f t="shared" si="0"/>
        <v>Genz viewer</v>
      </c>
      <c r="T61" t="str">
        <f t="shared" si="1"/>
        <v>Binge watcher</v>
      </c>
    </row>
    <row r="62" spans="1:20" x14ac:dyDescent="0.3">
      <c r="A62" t="s">
        <v>121</v>
      </c>
      <c r="B62" s="1">
        <v>45589</v>
      </c>
      <c r="C62">
        <v>2024</v>
      </c>
      <c r="D62" t="s">
        <v>47</v>
      </c>
      <c r="E62" t="s">
        <v>35</v>
      </c>
      <c r="F62" t="s">
        <v>21</v>
      </c>
      <c r="G62">
        <v>38</v>
      </c>
      <c r="H62" t="s">
        <v>22</v>
      </c>
      <c r="I62" t="s">
        <v>37</v>
      </c>
      <c r="J62" s="2">
        <v>199</v>
      </c>
      <c r="K62" t="s">
        <v>44</v>
      </c>
      <c r="L62">
        <v>36</v>
      </c>
      <c r="M62" t="s">
        <v>31</v>
      </c>
      <c r="N62" t="s">
        <v>26</v>
      </c>
      <c r="O62">
        <v>24</v>
      </c>
      <c r="P62" t="s">
        <v>27</v>
      </c>
      <c r="Q62">
        <v>5</v>
      </c>
      <c r="R62" s="2">
        <v>199</v>
      </c>
      <c r="S62" t="str">
        <f t="shared" si="0"/>
        <v>mid career adult</v>
      </c>
      <c r="T62" t="str">
        <f t="shared" si="1"/>
        <v>Engaged Viewer</v>
      </c>
    </row>
    <row r="63" spans="1:20" x14ac:dyDescent="0.3">
      <c r="A63" t="s">
        <v>122</v>
      </c>
      <c r="B63" s="1">
        <v>44659</v>
      </c>
      <c r="C63">
        <v>2022</v>
      </c>
      <c r="D63" t="s">
        <v>51</v>
      </c>
      <c r="E63" t="s">
        <v>35</v>
      </c>
      <c r="F63" t="s">
        <v>21</v>
      </c>
      <c r="G63">
        <v>54</v>
      </c>
      <c r="H63" t="s">
        <v>22</v>
      </c>
      <c r="I63" t="s">
        <v>48</v>
      </c>
      <c r="J63" s="2">
        <v>649</v>
      </c>
      <c r="K63" t="s">
        <v>53</v>
      </c>
      <c r="L63">
        <v>28</v>
      </c>
      <c r="M63" t="s">
        <v>25</v>
      </c>
      <c r="N63" t="s">
        <v>26</v>
      </c>
      <c r="O63">
        <v>25</v>
      </c>
      <c r="P63" t="s">
        <v>27</v>
      </c>
      <c r="Q63">
        <v>4</v>
      </c>
      <c r="R63" s="2">
        <v>649</v>
      </c>
      <c r="S63" t="str">
        <f t="shared" si="0"/>
        <v>Mature viewer</v>
      </c>
      <c r="T63" t="str">
        <f t="shared" si="1"/>
        <v>Regular Viewer</v>
      </c>
    </row>
    <row r="64" spans="1:20" x14ac:dyDescent="0.3">
      <c r="A64" t="s">
        <v>123</v>
      </c>
      <c r="B64" s="1">
        <v>45596</v>
      </c>
      <c r="C64">
        <v>2024</v>
      </c>
      <c r="D64" t="s">
        <v>47</v>
      </c>
      <c r="E64" t="s">
        <v>43</v>
      </c>
      <c r="F64" t="s">
        <v>63</v>
      </c>
      <c r="G64">
        <v>30</v>
      </c>
      <c r="H64" t="s">
        <v>36</v>
      </c>
      <c r="I64" t="s">
        <v>23</v>
      </c>
      <c r="J64" s="2">
        <v>499</v>
      </c>
      <c r="K64" t="s">
        <v>75</v>
      </c>
      <c r="L64">
        <v>59</v>
      </c>
      <c r="M64" t="s">
        <v>45</v>
      </c>
      <c r="N64" t="s">
        <v>55</v>
      </c>
      <c r="O64">
        <v>18</v>
      </c>
      <c r="P64" t="s">
        <v>27</v>
      </c>
      <c r="Q64">
        <v>3</v>
      </c>
      <c r="R64" s="2">
        <v>499</v>
      </c>
      <c r="S64" t="str">
        <f t="shared" si="0"/>
        <v>Young Professionals</v>
      </c>
      <c r="T64" t="str">
        <f t="shared" si="1"/>
        <v>Binge watcher</v>
      </c>
    </row>
    <row r="65" spans="1:20" x14ac:dyDescent="0.3">
      <c r="A65" t="s">
        <v>124</v>
      </c>
      <c r="B65" s="1">
        <v>45678</v>
      </c>
      <c r="C65">
        <v>2025</v>
      </c>
      <c r="D65" t="s">
        <v>62</v>
      </c>
      <c r="E65" t="s">
        <v>20</v>
      </c>
      <c r="F65" t="s">
        <v>21</v>
      </c>
      <c r="G65">
        <v>52</v>
      </c>
      <c r="H65" t="s">
        <v>22</v>
      </c>
      <c r="I65" t="s">
        <v>48</v>
      </c>
      <c r="J65" s="2">
        <v>649</v>
      </c>
      <c r="K65" t="s">
        <v>49</v>
      </c>
      <c r="L65">
        <v>48</v>
      </c>
      <c r="M65" t="s">
        <v>41</v>
      </c>
      <c r="N65" t="s">
        <v>58</v>
      </c>
      <c r="O65">
        <v>26</v>
      </c>
      <c r="P65" t="s">
        <v>27</v>
      </c>
      <c r="Q65">
        <v>5</v>
      </c>
      <c r="R65" s="2">
        <v>649</v>
      </c>
      <c r="S65" t="str">
        <f t="shared" si="0"/>
        <v>Mature viewer</v>
      </c>
      <c r="T65" t="str">
        <f t="shared" si="1"/>
        <v>Engaged Viewer</v>
      </c>
    </row>
    <row r="66" spans="1:20" x14ac:dyDescent="0.3">
      <c r="A66" t="s">
        <v>125</v>
      </c>
      <c r="B66" s="1">
        <v>45699</v>
      </c>
      <c r="C66">
        <v>2025</v>
      </c>
      <c r="D66" t="s">
        <v>111</v>
      </c>
      <c r="E66" t="s">
        <v>43</v>
      </c>
      <c r="F66" t="s">
        <v>29</v>
      </c>
      <c r="G66">
        <v>43</v>
      </c>
      <c r="H66" t="s">
        <v>36</v>
      </c>
      <c r="I66" t="s">
        <v>23</v>
      </c>
      <c r="J66" s="2">
        <v>499</v>
      </c>
      <c r="K66" t="s">
        <v>75</v>
      </c>
      <c r="L66">
        <v>48</v>
      </c>
      <c r="M66" t="s">
        <v>31</v>
      </c>
      <c r="N66" t="s">
        <v>58</v>
      </c>
      <c r="O66">
        <v>2</v>
      </c>
      <c r="P66" t="s">
        <v>27</v>
      </c>
      <c r="Q66">
        <v>3</v>
      </c>
      <c r="R66" s="2">
        <v>499</v>
      </c>
      <c r="S66" t="str">
        <f t="shared" si="0"/>
        <v>mid career adult</v>
      </c>
      <c r="T66" t="str">
        <f t="shared" si="1"/>
        <v>Engaged Viewer</v>
      </c>
    </row>
    <row r="67" spans="1:20" x14ac:dyDescent="0.3">
      <c r="A67" t="s">
        <v>126</v>
      </c>
      <c r="B67" s="1">
        <v>44717</v>
      </c>
      <c r="C67">
        <v>2022</v>
      </c>
      <c r="D67" t="s">
        <v>69</v>
      </c>
      <c r="E67" t="s">
        <v>52</v>
      </c>
      <c r="F67" t="s">
        <v>29</v>
      </c>
      <c r="G67">
        <v>34</v>
      </c>
      <c r="H67" t="s">
        <v>22</v>
      </c>
      <c r="I67" t="s">
        <v>23</v>
      </c>
      <c r="J67" s="2">
        <v>499</v>
      </c>
      <c r="K67" t="s">
        <v>40</v>
      </c>
      <c r="L67">
        <v>33</v>
      </c>
      <c r="M67" t="s">
        <v>31</v>
      </c>
      <c r="N67" t="s">
        <v>58</v>
      </c>
      <c r="O67">
        <v>46</v>
      </c>
      <c r="P67" t="s">
        <v>27</v>
      </c>
      <c r="Q67">
        <v>5</v>
      </c>
      <c r="R67" s="2">
        <v>499</v>
      </c>
      <c r="S67" t="str">
        <f t="shared" ref="S67:S130" si="2">IF(G67&lt;=24,"Genz viewer",IF(G67&lt;=34,"Young Professionals",IF(G67&lt;=44,"mid career adult",IF(G67&lt;=54,"Mature viewer","senior viewer"))))</f>
        <v>Young Professionals</v>
      </c>
      <c r="T67" t="str">
        <f t="shared" ref="T67:T130" si="3">IF(L67&lt;=20,"Casual Viewer",IF(L67&lt;=35,"Regular Viewer", IF(L67&lt;=50,"Engaged Viewer","Binge watcher")))</f>
        <v>Regular Viewer</v>
      </c>
    </row>
    <row r="68" spans="1:20" x14ac:dyDescent="0.3">
      <c r="A68" t="s">
        <v>127</v>
      </c>
      <c r="B68" s="1">
        <v>45248</v>
      </c>
      <c r="C68">
        <v>2023</v>
      </c>
      <c r="D68" t="s">
        <v>19</v>
      </c>
      <c r="E68" t="s">
        <v>35</v>
      </c>
      <c r="F68" t="s">
        <v>29</v>
      </c>
      <c r="G68">
        <v>54</v>
      </c>
      <c r="H68" t="s">
        <v>36</v>
      </c>
      <c r="I68" t="s">
        <v>37</v>
      </c>
      <c r="J68" s="2">
        <v>199</v>
      </c>
      <c r="K68" t="s">
        <v>49</v>
      </c>
      <c r="L68">
        <v>58</v>
      </c>
      <c r="M68" t="s">
        <v>45</v>
      </c>
      <c r="N68" t="s">
        <v>55</v>
      </c>
      <c r="O68">
        <v>34</v>
      </c>
      <c r="P68" t="s">
        <v>27</v>
      </c>
      <c r="Q68">
        <v>3</v>
      </c>
      <c r="R68" s="2">
        <v>199</v>
      </c>
      <c r="S68" t="str">
        <f t="shared" si="2"/>
        <v>Mature viewer</v>
      </c>
      <c r="T68" t="str">
        <f t="shared" si="3"/>
        <v>Binge watcher</v>
      </c>
    </row>
    <row r="69" spans="1:20" x14ac:dyDescent="0.3">
      <c r="A69" t="s">
        <v>128</v>
      </c>
      <c r="B69" s="1">
        <v>44797</v>
      </c>
      <c r="C69">
        <v>2022</v>
      </c>
      <c r="D69" t="s">
        <v>34</v>
      </c>
      <c r="E69" t="s">
        <v>52</v>
      </c>
      <c r="F69" t="s">
        <v>63</v>
      </c>
      <c r="G69">
        <v>39</v>
      </c>
      <c r="H69" t="s">
        <v>22</v>
      </c>
      <c r="I69" t="s">
        <v>23</v>
      </c>
      <c r="J69" s="2">
        <v>499</v>
      </c>
      <c r="K69" t="s">
        <v>67</v>
      </c>
      <c r="L69">
        <v>43</v>
      </c>
      <c r="M69" t="s">
        <v>45</v>
      </c>
      <c r="N69" t="s">
        <v>55</v>
      </c>
      <c r="O69">
        <v>6</v>
      </c>
      <c r="P69" t="s">
        <v>27</v>
      </c>
      <c r="Q69">
        <v>3</v>
      </c>
      <c r="R69" s="2">
        <v>499</v>
      </c>
      <c r="S69" t="str">
        <f t="shared" si="2"/>
        <v>mid career adult</v>
      </c>
      <c r="T69" t="str">
        <f t="shared" si="3"/>
        <v>Engaged Viewer</v>
      </c>
    </row>
    <row r="70" spans="1:20" x14ac:dyDescent="0.3">
      <c r="A70" t="s">
        <v>129</v>
      </c>
      <c r="B70" s="1">
        <v>44626</v>
      </c>
      <c r="C70">
        <v>2022</v>
      </c>
      <c r="D70" t="s">
        <v>66</v>
      </c>
      <c r="E70" t="s">
        <v>43</v>
      </c>
      <c r="F70" t="s">
        <v>63</v>
      </c>
      <c r="G70">
        <v>43</v>
      </c>
      <c r="H70" t="s">
        <v>36</v>
      </c>
      <c r="I70" t="s">
        <v>37</v>
      </c>
      <c r="J70" s="2">
        <v>199</v>
      </c>
      <c r="K70" t="s">
        <v>30</v>
      </c>
      <c r="L70">
        <v>50</v>
      </c>
      <c r="M70" t="s">
        <v>45</v>
      </c>
      <c r="N70" t="s">
        <v>58</v>
      </c>
      <c r="O70">
        <v>39</v>
      </c>
      <c r="P70" t="s">
        <v>73</v>
      </c>
      <c r="Q70">
        <v>5</v>
      </c>
      <c r="R70" s="2">
        <v>0</v>
      </c>
      <c r="S70" t="str">
        <f t="shared" si="2"/>
        <v>mid career adult</v>
      </c>
      <c r="T70" t="str">
        <f t="shared" si="3"/>
        <v>Engaged Viewer</v>
      </c>
    </row>
    <row r="71" spans="1:20" x14ac:dyDescent="0.3">
      <c r="A71" t="s">
        <v>130</v>
      </c>
      <c r="B71" s="1">
        <v>45234</v>
      </c>
      <c r="C71">
        <v>2023</v>
      </c>
      <c r="D71" t="s">
        <v>19</v>
      </c>
      <c r="E71" t="s">
        <v>20</v>
      </c>
      <c r="F71" t="s">
        <v>63</v>
      </c>
      <c r="G71">
        <v>21</v>
      </c>
      <c r="H71" t="s">
        <v>22</v>
      </c>
      <c r="I71" t="s">
        <v>23</v>
      </c>
      <c r="J71" s="2">
        <v>499</v>
      </c>
      <c r="K71" t="s">
        <v>30</v>
      </c>
      <c r="L71">
        <v>58</v>
      </c>
      <c r="M71" t="s">
        <v>31</v>
      </c>
      <c r="N71" t="s">
        <v>58</v>
      </c>
      <c r="O71">
        <v>11</v>
      </c>
      <c r="P71" t="s">
        <v>27</v>
      </c>
      <c r="Q71">
        <v>4</v>
      </c>
      <c r="R71" s="2">
        <v>499</v>
      </c>
      <c r="S71" t="str">
        <f t="shared" si="2"/>
        <v>Genz viewer</v>
      </c>
      <c r="T71" t="str">
        <f t="shared" si="3"/>
        <v>Binge watcher</v>
      </c>
    </row>
    <row r="72" spans="1:20" x14ac:dyDescent="0.3">
      <c r="A72" t="s">
        <v>131</v>
      </c>
      <c r="B72" s="1">
        <v>45130</v>
      </c>
      <c r="C72">
        <v>2023</v>
      </c>
      <c r="D72" t="s">
        <v>85</v>
      </c>
      <c r="E72" t="s">
        <v>20</v>
      </c>
      <c r="F72" t="s">
        <v>29</v>
      </c>
      <c r="G72">
        <v>28</v>
      </c>
      <c r="H72" t="s">
        <v>36</v>
      </c>
      <c r="I72" t="s">
        <v>23</v>
      </c>
      <c r="J72" s="2">
        <v>499</v>
      </c>
      <c r="K72" t="s">
        <v>75</v>
      </c>
      <c r="L72">
        <v>21</v>
      </c>
      <c r="M72" t="s">
        <v>31</v>
      </c>
      <c r="N72" t="s">
        <v>26</v>
      </c>
      <c r="O72">
        <v>2</v>
      </c>
      <c r="P72" t="s">
        <v>27</v>
      </c>
      <c r="Q72">
        <v>5</v>
      </c>
      <c r="R72" s="2">
        <v>499</v>
      </c>
      <c r="S72" t="str">
        <f t="shared" si="2"/>
        <v>Young Professionals</v>
      </c>
      <c r="T72" t="str">
        <f t="shared" si="3"/>
        <v>Regular Viewer</v>
      </c>
    </row>
    <row r="73" spans="1:20" x14ac:dyDescent="0.3">
      <c r="A73" t="s">
        <v>132</v>
      </c>
      <c r="B73" s="1">
        <v>45593</v>
      </c>
      <c r="C73">
        <v>2024</v>
      </c>
      <c r="D73" t="s">
        <v>47</v>
      </c>
      <c r="E73" t="s">
        <v>35</v>
      </c>
      <c r="F73" t="s">
        <v>29</v>
      </c>
      <c r="G73">
        <v>21</v>
      </c>
      <c r="H73" t="s">
        <v>22</v>
      </c>
      <c r="I73" t="s">
        <v>48</v>
      </c>
      <c r="J73" s="2">
        <v>649</v>
      </c>
      <c r="K73" t="s">
        <v>53</v>
      </c>
      <c r="L73">
        <v>25</v>
      </c>
      <c r="M73" t="s">
        <v>31</v>
      </c>
      <c r="N73" t="s">
        <v>32</v>
      </c>
      <c r="O73">
        <v>12</v>
      </c>
      <c r="P73" t="s">
        <v>27</v>
      </c>
      <c r="Q73">
        <v>5</v>
      </c>
      <c r="R73" s="2">
        <v>649</v>
      </c>
      <c r="S73" t="str">
        <f t="shared" si="2"/>
        <v>Genz viewer</v>
      </c>
      <c r="T73" t="str">
        <f t="shared" si="3"/>
        <v>Regular Viewer</v>
      </c>
    </row>
    <row r="74" spans="1:20" x14ac:dyDescent="0.3">
      <c r="A74" t="s">
        <v>133</v>
      </c>
      <c r="B74" s="1">
        <v>44580</v>
      </c>
      <c r="C74">
        <v>2022</v>
      </c>
      <c r="D74" t="s">
        <v>62</v>
      </c>
      <c r="E74" t="s">
        <v>52</v>
      </c>
      <c r="F74" t="s">
        <v>63</v>
      </c>
      <c r="G74">
        <v>48</v>
      </c>
      <c r="H74" t="s">
        <v>22</v>
      </c>
      <c r="I74" t="s">
        <v>37</v>
      </c>
      <c r="J74" s="2">
        <v>199</v>
      </c>
      <c r="K74" t="s">
        <v>75</v>
      </c>
      <c r="L74">
        <v>48</v>
      </c>
      <c r="M74" t="s">
        <v>41</v>
      </c>
      <c r="N74" t="s">
        <v>32</v>
      </c>
      <c r="O74">
        <v>18</v>
      </c>
      <c r="P74" t="s">
        <v>27</v>
      </c>
      <c r="Q74">
        <v>5</v>
      </c>
      <c r="R74" s="2">
        <v>199</v>
      </c>
      <c r="S74" t="str">
        <f t="shared" si="2"/>
        <v>Mature viewer</v>
      </c>
      <c r="T74" t="str">
        <f t="shared" si="3"/>
        <v>Engaged Viewer</v>
      </c>
    </row>
    <row r="75" spans="1:20" x14ac:dyDescent="0.3">
      <c r="A75" t="s">
        <v>134</v>
      </c>
      <c r="B75" s="1">
        <v>45184</v>
      </c>
      <c r="C75">
        <v>2023</v>
      </c>
      <c r="D75" t="s">
        <v>60</v>
      </c>
      <c r="E75" t="s">
        <v>43</v>
      </c>
      <c r="F75" t="s">
        <v>63</v>
      </c>
      <c r="G75">
        <v>53</v>
      </c>
      <c r="H75" t="s">
        <v>22</v>
      </c>
      <c r="I75" t="s">
        <v>23</v>
      </c>
      <c r="J75" s="2">
        <v>499</v>
      </c>
      <c r="K75" t="s">
        <v>40</v>
      </c>
      <c r="L75">
        <v>35</v>
      </c>
      <c r="M75" t="s">
        <v>25</v>
      </c>
      <c r="N75" t="s">
        <v>32</v>
      </c>
      <c r="O75">
        <v>4</v>
      </c>
      <c r="P75" t="s">
        <v>27</v>
      </c>
      <c r="Q75">
        <v>4</v>
      </c>
      <c r="R75" s="2">
        <v>499</v>
      </c>
      <c r="S75" t="str">
        <f t="shared" si="2"/>
        <v>Mature viewer</v>
      </c>
      <c r="T75" t="str">
        <f t="shared" si="3"/>
        <v>Regular Viewer</v>
      </c>
    </row>
    <row r="76" spans="1:20" x14ac:dyDescent="0.3">
      <c r="A76" t="s">
        <v>135</v>
      </c>
      <c r="B76" s="1">
        <v>45505</v>
      </c>
      <c r="C76">
        <v>2024</v>
      </c>
      <c r="D76" t="s">
        <v>34</v>
      </c>
      <c r="E76" t="s">
        <v>43</v>
      </c>
      <c r="F76" t="s">
        <v>29</v>
      </c>
      <c r="G76">
        <v>21</v>
      </c>
      <c r="H76" t="s">
        <v>22</v>
      </c>
      <c r="I76" t="s">
        <v>23</v>
      </c>
      <c r="J76" s="2">
        <v>499</v>
      </c>
      <c r="K76" t="s">
        <v>24</v>
      </c>
      <c r="L76">
        <v>35</v>
      </c>
      <c r="M76" t="s">
        <v>45</v>
      </c>
      <c r="N76" t="s">
        <v>58</v>
      </c>
      <c r="O76">
        <v>24</v>
      </c>
      <c r="P76" t="s">
        <v>27</v>
      </c>
      <c r="Q76">
        <v>3</v>
      </c>
      <c r="R76" s="2">
        <v>499</v>
      </c>
      <c r="S76" t="str">
        <f t="shared" si="2"/>
        <v>Genz viewer</v>
      </c>
      <c r="T76" t="str">
        <f t="shared" si="3"/>
        <v>Regular Viewer</v>
      </c>
    </row>
    <row r="77" spans="1:20" x14ac:dyDescent="0.3">
      <c r="A77" t="s">
        <v>136</v>
      </c>
      <c r="B77" s="1">
        <v>44960</v>
      </c>
      <c r="C77">
        <v>2023</v>
      </c>
      <c r="D77" t="s">
        <v>111</v>
      </c>
      <c r="E77" t="s">
        <v>52</v>
      </c>
      <c r="F77" t="s">
        <v>63</v>
      </c>
      <c r="G77">
        <v>21</v>
      </c>
      <c r="H77" t="s">
        <v>22</v>
      </c>
      <c r="I77" t="s">
        <v>23</v>
      </c>
      <c r="J77" s="2">
        <v>499</v>
      </c>
      <c r="K77" t="s">
        <v>40</v>
      </c>
      <c r="L77">
        <v>59</v>
      </c>
      <c r="M77" t="s">
        <v>25</v>
      </c>
      <c r="N77" t="s">
        <v>58</v>
      </c>
      <c r="O77">
        <v>12</v>
      </c>
      <c r="P77" t="s">
        <v>27</v>
      </c>
      <c r="Q77">
        <v>5</v>
      </c>
      <c r="R77" s="2">
        <v>499</v>
      </c>
      <c r="S77" t="str">
        <f t="shared" si="2"/>
        <v>Genz viewer</v>
      </c>
      <c r="T77" t="str">
        <f t="shared" si="3"/>
        <v>Binge watcher</v>
      </c>
    </row>
    <row r="78" spans="1:20" x14ac:dyDescent="0.3">
      <c r="A78" t="s">
        <v>137</v>
      </c>
      <c r="B78" s="1">
        <v>45369</v>
      </c>
      <c r="C78">
        <v>2024</v>
      </c>
      <c r="D78" t="s">
        <v>66</v>
      </c>
      <c r="E78" t="s">
        <v>35</v>
      </c>
      <c r="F78" t="s">
        <v>29</v>
      </c>
      <c r="G78">
        <v>29</v>
      </c>
      <c r="H78" t="s">
        <v>36</v>
      </c>
      <c r="I78" t="s">
        <v>23</v>
      </c>
      <c r="J78" s="2">
        <v>499</v>
      </c>
      <c r="K78" t="s">
        <v>49</v>
      </c>
      <c r="L78">
        <v>34</v>
      </c>
      <c r="M78" t="s">
        <v>41</v>
      </c>
      <c r="N78" t="s">
        <v>55</v>
      </c>
      <c r="O78">
        <v>12</v>
      </c>
      <c r="P78" t="s">
        <v>27</v>
      </c>
      <c r="Q78">
        <v>5</v>
      </c>
      <c r="R78" s="2">
        <v>499</v>
      </c>
      <c r="S78" t="str">
        <f t="shared" si="2"/>
        <v>Young Professionals</v>
      </c>
      <c r="T78" t="str">
        <f t="shared" si="3"/>
        <v>Regular Viewer</v>
      </c>
    </row>
    <row r="79" spans="1:20" x14ac:dyDescent="0.3">
      <c r="A79" t="s">
        <v>138</v>
      </c>
      <c r="B79" s="1">
        <v>44796</v>
      </c>
      <c r="C79">
        <v>2022</v>
      </c>
      <c r="D79" t="s">
        <v>34</v>
      </c>
      <c r="E79" t="s">
        <v>35</v>
      </c>
      <c r="F79" t="s">
        <v>63</v>
      </c>
      <c r="G79">
        <v>48</v>
      </c>
      <c r="H79" t="s">
        <v>36</v>
      </c>
      <c r="I79" t="s">
        <v>37</v>
      </c>
      <c r="J79" s="2">
        <v>199</v>
      </c>
      <c r="K79" t="s">
        <v>57</v>
      </c>
      <c r="L79">
        <v>51</v>
      </c>
      <c r="M79" t="s">
        <v>45</v>
      </c>
      <c r="N79" t="s">
        <v>26</v>
      </c>
      <c r="O79">
        <v>11</v>
      </c>
      <c r="P79" t="s">
        <v>27</v>
      </c>
      <c r="Q79">
        <v>5</v>
      </c>
      <c r="R79" s="2">
        <v>199</v>
      </c>
      <c r="S79" t="str">
        <f t="shared" si="2"/>
        <v>Mature viewer</v>
      </c>
      <c r="T79" t="str">
        <f t="shared" si="3"/>
        <v>Binge watcher</v>
      </c>
    </row>
    <row r="80" spans="1:20" x14ac:dyDescent="0.3">
      <c r="A80" t="s">
        <v>139</v>
      </c>
      <c r="B80" s="1">
        <v>44665</v>
      </c>
      <c r="C80">
        <v>2022</v>
      </c>
      <c r="D80" t="s">
        <v>51</v>
      </c>
      <c r="E80" t="s">
        <v>20</v>
      </c>
      <c r="F80" t="s">
        <v>21</v>
      </c>
      <c r="G80">
        <v>52</v>
      </c>
      <c r="H80" t="s">
        <v>22</v>
      </c>
      <c r="I80" t="s">
        <v>37</v>
      </c>
      <c r="J80" s="2">
        <v>199</v>
      </c>
      <c r="K80" t="s">
        <v>49</v>
      </c>
      <c r="L80">
        <v>27</v>
      </c>
      <c r="M80" t="s">
        <v>45</v>
      </c>
      <c r="N80" t="s">
        <v>58</v>
      </c>
      <c r="O80">
        <v>12</v>
      </c>
      <c r="P80" t="s">
        <v>27</v>
      </c>
      <c r="Q80">
        <v>3</v>
      </c>
      <c r="R80" s="2">
        <v>199</v>
      </c>
      <c r="S80" t="str">
        <f t="shared" si="2"/>
        <v>Mature viewer</v>
      </c>
      <c r="T80" t="str">
        <f t="shared" si="3"/>
        <v>Regular Viewer</v>
      </c>
    </row>
    <row r="81" spans="1:20" x14ac:dyDescent="0.3">
      <c r="A81" t="s">
        <v>140</v>
      </c>
      <c r="B81" s="1">
        <v>44765</v>
      </c>
      <c r="C81">
        <v>2022</v>
      </c>
      <c r="D81" t="s">
        <v>85</v>
      </c>
      <c r="E81" t="s">
        <v>52</v>
      </c>
      <c r="F81" t="s">
        <v>21</v>
      </c>
      <c r="G81">
        <v>50</v>
      </c>
      <c r="H81" t="s">
        <v>36</v>
      </c>
      <c r="I81" t="s">
        <v>23</v>
      </c>
      <c r="J81" s="2">
        <v>499</v>
      </c>
      <c r="K81" t="s">
        <v>57</v>
      </c>
      <c r="L81">
        <v>33</v>
      </c>
      <c r="M81" t="s">
        <v>41</v>
      </c>
      <c r="N81" t="s">
        <v>32</v>
      </c>
      <c r="O81">
        <v>31</v>
      </c>
      <c r="P81" t="s">
        <v>27</v>
      </c>
      <c r="Q81">
        <v>4</v>
      </c>
      <c r="R81" s="2">
        <v>499</v>
      </c>
      <c r="S81" t="str">
        <f t="shared" si="2"/>
        <v>Mature viewer</v>
      </c>
      <c r="T81" t="str">
        <f t="shared" si="3"/>
        <v>Regular Viewer</v>
      </c>
    </row>
    <row r="82" spans="1:20" x14ac:dyDescent="0.3">
      <c r="A82" t="s">
        <v>141</v>
      </c>
      <c r="B82" s="1">
        <v>45689</v>
      </c>
      <c r="C82">
        <v>2025</v>
      </c>
      <c r="D82" t="s">
        <v>111</v>
      </c>
      <c r="E82" t="s">
        <v>35</v>
      </c>
      <c r="F82" t="s">
        <v>63</v>
      </c>
      <c r="G82">
        <v>40</v>
      </c>
      <c r="H82" t="s">
        <v>36</v>
      </c>
      <c r="I82" t="s">
        <v>48</v>
      </c>
      <c r="J82" s="2">
        <v>649</v>
      </c>
      <c r="K82" t="s">
        <v>49</v>
      </c>
      <c r="L82">
        <v>26</v>
      </c>
      <c r="M82" t="s">
        <v>31</v>
      </c>
      <c r="N82" t="s">
        <v>55</v>
      </c>
      <c r="O82">
        <v>24</v>
      </c>
      <c r="P82" t="s">
        <v>27</v>
      </c>
      <c r="Q82">
        <v>5</v>
      </c>
      <c r="R82" s="2">
        <v>649</v>
      </c>
      <c r="S82" t="str">
        <f t="shared" si="2"/>
        <v>mid career adult</v>
      </c>
      <c r="T82" t="str">
        <f t="shared" si="3"/>
        <v>Regular Viewer</v>
      </c>
    </row>
    <row r="83" spans="1:20" x14ac:dyDescent="0.3">
      <c r="A83" t="s">
        <v>142</v>
      </c>
      <c r="B83" s="1">
        <v>44926</v>
      </c>
      <c r="C83">
        <v>2022</v>
      </c>
      <c r="D83" t="s">
        <v>39</v>
      </c>
      <c r="E83" t="s">
        <v>43</v>
      </c>
      <c r="F83" t="s">
        <v>29</v>
      </c>
      <c r="G83">
        <v>38</v>
      </c>
      <c r="H83" t="s">
        <v>36</v>
      </c>
      <c r="I83" t="s">
        <v>48</v>
      </c>
      <c r="J83" s="2">
        <v>649</v>
      </c>
      <c r="K83" t="s">
        <v>30</v>
      </c>
      <c r="L83">
        <v>44</v>
      </c>
      <c r="M83" t="s">
        <v>31</v>
      </c>
      <c r="N83" t="s">
        <v>58</v>
      </c>
      <c r="O83">
        <v>2</v>
      </c>
      <c r="P83" t="s">
        <v>27</v>
      </c>
      <c r="Q83">
        <v>5</v>
      </c>
      <c r="R83" s="2">
        <v>649</v>
      </c>
      <c r="S83" t="str">
        <f t="shared" si="2"/>
        <v>mid career adult</v>
      </c>
      <c r="T83" t="str">
        <f t="shared" si="3"/>
        <v>Engaged Viewer</v>
      </c>
    </row>
    <row r="84" spans="1:20" x14ac:dyDescent="0.3">
      <c r="A84" t="s">
        <v>143</v>
      </c>
      <c r="B84" s="1">
        <v>45911</v>
      </c>
      <c r="C84">
        <v>2025</v>
      </c>
      <c r="D84" t="s">
        <v>60</v>
      </c>
      <c r="E84" t="s">
        <v>52</v>
      </c>
      <c r="F84" t="s">
        <v>63</v>
      </c>
      <c r="G84">
        <v>38</v>
      </c>
      <c r="H84" t="s">
        <v>36</v>
      </c>
      <c r="I84" t="s">
        <v>37</v>
      </c>
      <c r="J84" s="2">
        <v>199</v>
      </c>
      <c r="K84" t="s">
        <v>75</v>
      </c>
      <c r="L84">
        <v>42</v>
      </c>
      <c r="M84" t="s">
        <v>45</v>
      </c>
      <c r="N84" t="s">
        <v>58</v>
      </c>
      <c r="O84">
        <v>44</v>
      </c>
      <c r="P84" t="s">
        <v>27</v>
      </c>
      <c r="Q84">
        <v>3</v>
      </c>
      <c r="R84" s="2">
        <v>199</v>
      </c>
      <c r="S84" t="str">
        <f t="shared" si="2"/>
        <v>mid career adult</v>
      </c>
      <c r="T84" t="str">
        <f t="shared" si="3"/>
        <v>Engaged Viewer</v>
      </c>
    </row>
    <row r="85" spans="1:20" x14ac:dyDescent="0.3">
      <c r="A85" t="s">
        <v>144</v>
      </c>
      <c r="B85" s="1">
        <v>45120</v>
      </c>
      <c r="C85">
        <v>2023</v>
      </c>
      <c r="D85" t="s">
        <v>85</v>
      </c>
      <c r="E85" t="s">
        <v>52</v>
      </c>
      <c r="F85" t="s">
        <v>21</v>
      </c>
      <c r="G85">
        <v>25</v>
      </c>
      <c r="H85" t="s">
        <v>22</v>
      </c>
      <c r="I85" t="s">
        <v>23</v>
      </c>
      <c r="J85" s="2">
        <v>499</v>
      </c>
      <c r="K85" t="s">
        <v>49</v>
      </c>
      <c r="L85">
        <v>46</v>
      </c>
      <c r="M85" t="s">
        <v>25</v>
      </c>
      <c r="N85" t="s">
        <v>32</v>
      </c>
      <c r="O85">
        <v>20</v>
      </c>
      <c r="P85" t="s">
        <v>27</v>
      </c>
      <c r="Q85">
        <v>3</v>
      </c>
      <c r="R85" s="2">
        <v>499</v>
      </c>
      <c r="S85" t="str">
        <f t="shared" si="2"/>
        <v>Young Professionals</v>
      </c>
      <c r="T85" t="str">
        <f t="shared" si="3"/>
        <v>Engaged Viewer</v>
      </c>
    </row>
    <row r="86" spans="1:20" x14ac:dyDescent="0.3">
      <c r="A86" t="s">
        <v>145</v>
      </c>
      <c r="B86" s="1">
        <v>45208</v>
      </c>
      <c r="C86">
        <v>2023</v>
      </c>
      <c r="D86" t="s">
        <v>47</v>
      </c>
      <c r="E86" t="s">
        <v>20</v>
      </c>
      <c r="F86" t="s">
        <v>63</v>
      </c>
      <c r="G86">
        <v>23</v>
      </c>
      <c r="H86" t="s">
        <v>22</v>
      </c>
      <c r="I86" t="s">
        <v>37</v>
      </c>
      <c r="J86" s="2">
        <v>199</v>
      </c>
      <c r="K86" t="s">
        <v>53</v>
      </c>
      <c r="L86">
        <v>58</v>
      </c>
      <c r="M86" t="s">
        <v>31</v>
      </c>
      <c r="N86" t="s">
        <v>32</v>
      </c>
      <c r="O86">
        <v>33</v>
      </c>
      <c r="P86" t="s">
        <v>27</v>
      </c>
      <c r="Q86">
        <v>4</v>
      </c>
      <c r="R86" s="2">
        <v>199</v>
      </c>
      <c r="S86" t="str">
        <f t="shared" si="2"/>
        <v>Genz viewer</v>
      </c>
      <c r="T86" t="str">
        <f t="shared" si="3"/>
        <v>Binge watcher</v>
      </c>
    </row>
    <row r="87" spans="1:20" x14ac:dyDescent="0.3">
      <c r="A87" t="s">
        <v>146</v>
      </c>
      <c r="B87" s="1">
        <v>45246</v>
      </c>
      <c r="C87">
        <v>2023</v>
      </c>
      <c r="D87" t="s">
        <v>19</v>
      </c>
      <c r="E87" t="s">
        <v>43</v>
      </c>
      <c r="F87" t="s">
        <v>29</v>
      </c>
      <c r="G87">
        <v>41</v>
      </c>
      <c r="H87" t="s">
        <v>22</v>
      </c>
      <c r="I87" t="s">
        <v>37</v>
      </c>
      <c r="J87" s="2">
        <v>199</v>
      </c>
      <c r="K87" t="s">
        <v>49</v>
      </c>
      <c r="L87">
        <v>53</v>
      </c>
      <c r="M87" t="s">
        <v>31</v>
      </c>
      <c r="N87" t="s">
        <v>32</v>
      </c>
      <c r="O87">
        <v>9</v>
      </c>
      <c r="P87" t="s">
        <v>27</v>
      </c>
      <c r="Q87">
        <v>3</v>
      </c>
      <c r="R87" s="2">
        <v>199</v>
      </c>
      <c r="S87" t="str">
        <f t="shared" si="2"/>
        <v>mid career adult</v>
      </c>
      <c r="T87" t="str">
        <f t="shared" si="3"/>
        <v>Binge watcher</v>
      </c>
    </row>
    <row r="88" spans="1:20" x14ac:dyDescent="0.3">
      <c r="A88" t="s">
        <v>147</v>
      </c>
      <c r="B88" s="1">
        <v>45701</v>
      </c>
      <c r="C88">
        <v>2025</v>
      </c>
      <c r="D88" t="s">
        <v>111</v>
      </c>
      <c r="E88" t="s">
        <v>20</v>
      </c>
      <c r="F88" t="s">
        <v>63</v>
      </c>
      <c r="G88">
        <v>46</v>
      </c>
      <c r="H88" t="s">
        <v>36</v>
      </c>
      <c r="I88" t="s">
        <v>48</v>
      </c>
      <c r="J88" s="2">
        <v>649</v>
      </c>
      <c r="K88" t="s">
        <v>24</v>
      </c>
      <c r="L88">
        <v>53</v>
      </c>
      <c r="M88" t="s">
        <v>41</v>
      </c>
      <c r="N88" t="s">
        <v>55</v>
      </c>
      <c r="O88">
        <v>34</v>
      </c>
      <c r="P88" t="s">
        <v>27</v>
      </c>
      <c r="Q88">
        <v>5</v>
      </c>
      <c r="R88" s="2">
        <v>649</v>
      </c>
      <c r="S88" t="str">
        <f t="shared" si="2"/>
        <v>Mature viewer</v>
      </c>
      <c r="T88" t="str">
        <f t="shared" si="3"/>
        <v>Binge watcher</v>
      </c>
    </row>
    <row r="89" spans="1:20" x14ac:dyDescent="0.3">
      <c r="A89" t="s">
        <v>148</v>
      </c>
      <c r="B89" s="1">
        <v>44831</v>
      </c>
      <c r="C89">
        <v>2022</v>
      </c>
      <c r="D89" t="s">
        <v>60</v>
      </c>
      <c r="E89" t="s">
        <v>43</v>
      </c>
      <c r="F89" t="s">
        <v>21</v>
      </c>
      <c r="G89">
        <v>29</v>
      </c>
      <c r="H89" t="s">
        <v>22</v>
      </c>
      <c r="I89" t="s">
        <v>23</v>
      </c>
      <c r="J89" s="2">
        <v>499</v>
      </c>
      <c r="K89" t="s">
        <v>30</v>
      </c>
      <c r="L89">
        <v>32</v>
      </c>
      <c r="M89" t="s">
        <v>25</v>
      </c>
      <c r="N89" t="s">
        <v>55</v>
      </c>
      <c r="O89">
        <v>17</v>
      </c>
      <c r="P89" t="s">
        <v>27</v>
      </c>
      <c r="Q89">
        <v>5</v>
      </c>
      <c r="R89" s="2">
        <v>499</v>
      </c>
      <c r="S89" t="str">
        <f t="shared" si="2"/>
        <v>Young Professionals</v>
      </c>
      <c r="T89" t="str">
        <f t="shared" si="3"/>
        <v>Regular Viewer</v>
      </c>
    </row>
    <row r="90" spans="1:20" x14ac:dyDescent="0.3">
      <c r="A90" t="s">
        <v>149</v>
      </c>
      <c r="B90" s="1">
        <v>45218</v>
      </c>
      <c r="C90">
        <v>2023</v>
      </c>
      <c r="D90" t="s">
        <v>47</v>
      </c>
      <c r="E90" t="s">
        <v>52</v>
      </c>
      <c r="F90" t="s">
        <v>21</v>
      </c>
      <c r="G90">
        <v>30</v>
      </c>
      <c r="H90" t="s">
        <v>22</v>
      </c>
      <c r="I90" t="s">
        <v>48</v>
      </c>
      <c r="J90" s="2">
        <v>649</v>
      </c>
      <c r="K90" t="s">
        <v>67</v>
      </c>
      <c r="L90">
        <v>51</v>
      </c>
      <c r="M90" t="s">
        <v>45</v>
      </c>
      <c r="N90" t="s">
        <v>32</v>
      </c>
      <c r="O90">
        <v>25</v>
      </c>
      <c r="P90" t="s">
        <v>73</v>
      </c>
      <c r="Q90">
        <v>3</v>
      </c>
      <c r="R90" s="2">
        <v>0</v>
      </c>
      <c r="S90" t="str">
        <f t="shared" si="2"/>
        <v>Young Professionals</v>
      </c>
      <c r="T90" t="str">
        <f t="shared" si="3"/>
        <v>Binge watcher</v>
      </c>
    </row>
    <row r="91" spans="1:20" x14ac:dyDescent="0.3">
      <c r="A91" t="s">
        <v>150</v>
      </c>
      <c r="B91" s="1">
        <v>45500</v>
      </c>
      <c r="C91">
        <v>2024</v>
      </c>
      <c r="D91" t="s">
        <v>85</v>
      </c>
      <c r="E91" t="s">
        <v>35</v>
      </c>
      <c r="F91" t="s">
        <v>21</v>
      </c>
      <c r="G91">
        <v>41</v>
      </c>
      <c r="H91" t="s">
        <v>36</v>
      </c>
      <c r="I91" t="s">
        <v>48</v>
      </c>
      <c r="J91" s="2">
        <v>649</v>
      </c>
      <c r="K91" t="s">
        <v>57</v>
      </c>
      <c r="L91">
        <v>54</v>
      </c>
      <c r="M91" t="s">
        <v>31</v>
      </c>
      <c r="N91" t="s">
        <v>32</v>
      </c>
      <c r="O91">
        <v>47</v>
      </c>
      <c r="P91" t="s">
        <v>27</v>
      </c>
      <c r="Q91">
        <v>3</v>
      </c>
      <c r="R91" s="2">
        <v>649</v>
      </c>
      <c r="S91" t="str">
        <f t="shared" si="2"/>
        <v>mid career adult</v>
      </c>
      <c r="T91" t="str">
        <f t="shared" si="3"/>
        <v>Binge watcher</v>
      </c>
    </row>
    <row r="92" spans="1:20" x14ac:dyDescent="0.3">
      <c r="A92" t="s">
        <v>151</v>
      </c>
      <c r="B92" s="1">
        <v>45715</v>
      </c>
      <c r="C92">
        <v>2025</v>
      </c>
      <c r="D92" t="s">
        <v>111</v>
      </c>
      <c r="E92" t="s">
        <v>35</v>
      </c>
      <c r="F92" t="s">
        <v>21</v>
      </c>
      <c r="G92">
        <v>48</v>
      </c>
      <c r="H92" t="s">
        <v>36</v>
      </c>
      <c r="I92" t="s">
        <v>23</v>
      </c>
      <c r="J92" s="2">
        <v>499</v>
      </c>
      <c r="K92" t="s">
        <v>67</v>
      </c>
      <c r="L92">
        <v>44</v>
      </c>
      <c r="M92" t="s">
        <v>41</v>
      </c>
      <c r="N92" t="s">
        <v>26</v>
      </c>
      <c r="O92">
        <v>20</v>
      </c>
      <c r="P92" t="s">
        <v>27</v>
      </c>
      <c r="Q92">
        <v>4</v>
      </c>
      <c r="R92" s="2">
        <v>499</v>
      </c>
      <c r="S92" t="str">
        <f t="shared" si="2"/>
        <v>Mature viewer</v>
      </c>
      <c r="T92" t="str">
        <f t="shared" si="3"/>
        <v>Engaged Viewer</v>
      </c>
    </row>
    <row r="93" spans="1:20" x14ac:dyDescent="0.3">
      <c r="A93" t="s">
        <v>152</v>
      </c>
      <c r="B93" s="1">
        <v>45538</v>
      </c>
      <c r="C93">
        <v>2024</v>
      </c>
      <c r="D93" t="s">
        <v>60</v>
      </c>
      <c r="E93" t="s">
        <v>52</v>
      </c>
      <c r="F93" t="s">
        <v>21</v>
      </c>
      <c r="G93">
        <v>55</v>
      </c>
      <c r="H93" t="s">
        <v>36</v>
      </c>
      <c r="I93" t="s">
        <v>23</v>
      </c>
      <c r="J93" s="2">
        <v>499</v>
      </c>
      <c r="K93" t="s">
        <v>49</v>
      </c>
      <c r="L93">
        <v>41</v>
      </c>
      <c r="M93" t="s">
        <v>25</v>
      </c>
      <c r="N93" t="s">
        <v>32</v>
      </c>
      <c r="O93">
        <v>45</v>
      </c>
      <c r="P93" t="s">
        <v>27</v>
      </c>
      <c r="Q93">
        <v>5</v>
      </c>
      <c r="R93" s="2">
        <v>499</v>
      </c>
      <c r="S93" t="str">
        <f t="shared" si="2"/>
        <v>senior viewer</v>
      </c>
      <c r="T93" t="str">
        <f t="shared" si="3"/>
        <v>Engaged Viewer</v>
      </c>
    </row>
    <row r="94" spans="1:20" x14ac:dyDescent="0.3">
      <c r="A94" t="s">
        <v>153</v>
      </c>
      <c r="B94" s="1">
        <v>45109</v>
      </c>
      <c r="C94">
        <v>2023</v>
      </c>
      <c r="D94" t="s">
        <v>85</v>
      </c>
      <c r="E94" t="s">
        <v>20</v>
      </c>
      <c r="F94" t="s">
        <v>63</v>
      </c>
      <c r="G94">
        <v>51</v>
      </c>
      <c r="H94" t="s">
        <v>22</v>
      </c>
      <c r="I94" t="s">
        <v>37</v>
      </c>
      <c r="J94" s="2">
        <v>199</v>
      </c>
      <c r="K94" t="s">
        <v>40</v>
      </c>
      <c r="L94">
        <v>45</v>
      </c>
      <c r="M94" t="s">
        <v>25</v>
      </c>
      <c r="N94" t="s">
        <v>55</v>
      </c>
      <c r="O94">
        <v>35</v>
      </c>
      <c r="P94" t="s">
        <v>27</v>
      </c>
      <c r="Q94">
        <v>4</v>
      </c>
      <c r="R94" s="2">
        <v>199</v>
      </c>
      <c r="S94" t="str">
        <f t="shared" si="2"/>
        <v>Mature viewer</v>
      </c>
      <c r="T94" t="str">
        <f t="shared" si="3"/>
        <v>Engaged Viewer</v>
      </c>
    </row>
    <row r="95" spans="1:20" x14ac:dyDescent="0.3">
      <c r="A95" t="s">
        <v>154</v>
      </c>
      <c r="B95" s="1">
        <v>45580</v>
      </c>
      <c r="C95">
        <v>2024</v>
      </c>
      <c r="D95" t="s">
        <v>47</v>
      </c>
      <c r="E95" t="s">
        <v>52</v>
      </c>
      <c r="F95" t="s">
        <v>29</v>
      </c>
      <c r="G95">
        <v>37</v>
      </c>
      <c r="H95" t="s">
        <v>36</v>
      </c>
      <c r="I95" t="s">
        <v>23</v>
      </c>
      <c r="J95" s="2">
        <v>499</v>
      </c>
      <c r="K95" t="s">
        <v>30</v>
      </c>
      <c r="L95">
        <v>20</v>
      </c>
      <c r="M95" t="s">
        <v>45</v>
      </c>
      <c r="N95" t="s">
        <v>26</v>
      </c>
      <c r="O95">
        <v>40</v>
      </c>
      <c r="P95" t="s">
        <v>27</v>
      </c>
      <c r="Q95">
        <v>4</v>
      </c>
      <c r="R95" s="2">
        <v>499</v>
      </c>
      <c r="S95" t="str">
        <f t="shared" si="2"/>
        <v>mid career adult</v>
      </c>
      <c r="T95" t="str">
        <f t="shared" si="3"/>
        <v>Casual Viewer</v>
      </c>
    </row>
    <row r="96" spans="1:20" x14ac:dyDescent="0.3">
      <c r="A96" t="s">
        <v>155</v>
      </c>
      <c r="B96" s="1">
        <v>44933</v>
      </c>
      <c r="C96">
        <v>2023</v>
      </c>
      <c r="D96" t="s">
        <v>62</v>
      </c>
      <c r="E96" t="s">
        <v>43</v>
      </c>
      <c r="F96" t="s">
        <v>21</v>
      </c>
      <c r="G96">
        <v>54</v>
      </c>
      <c r="H96" t="s">
        <v>22</v>
      </c>
      <c r="I96" t="s">
        <v>48</v>
      </c>
      <c r="J96" s="2">
        <v>649</v>
      </c>
      <c r="K96" t="s">
        <v>44</v>
      </c>
      <c r="L96">
        <v>60</v>
      </c>
      <c r="M96" t="s">
        <v>41</v>
      </c>
      <c r="N96" t="s">
        <v>32</v>
      </c>
      <c r="O96">
        <v>32</v>
      </c>
      <c r="P96" t="s">
        <v>27</v>
      </c>
      <c r="Q96">
        <v>5</v>
      </c>
      <c r="R96" s="2">
        <v>649</v>
      </c>
      <c r="S96" t="str">
        <f t="shared" si="2"/>
        <v>Mature viewer</v>
      </c>
      <c r="T96" t="str">
        <f t="shared" si="3"/>
        <v>Binge watcher</v>
      </c>
    </row>
    <row r="97" spans="1:20" x14ac:dyDescent="0.3">
      <c r="A97" t="s">
        <v>156</v>
      </c>
      <c r="B97" s="1">
        <v>45594</v>
      </c>
      <c r="C97">
        <v>2024</v>
      </c>
      <c r="D97" t="s">
        <v>47</v>
      </c>
      <c r="E97" t="s">
        <v>20</v>
      </c>
      <c r="F97" t="s">
        <v>63</v>
      </c>
      <c r="G97">
        <v>46</v>
      </c>
      <c r="H97" t="s">
        <v>36</v>
      </c>
      <c r="I97" t="s">
        <v>48</v>
      </c>
      <c r="J97" s="2">
        <v>649</v>
      </c>
      <c r="K97" t="s">
        <v>30</v>
      </c>
      <c r="L97">
        <v>26</v>
      </c>
      <c r="M97" t="s">
        <v>31</v>
      </c>
      <c r="N97" t="s">
        <v>55</v>
      </c>
      <c r="O97">
        <v>22</v>
      </c>
      <c r="P97" t="s">
        <v>27</v>
      </c>
      <c r="Q97">
        <v>4</v>
      </c>
      <c r="R97" s="2">
        <v>649</v>
      </c>
      <c r="S97" t="str">
        <f t="shared" si="2"/>
        <v>Mature viewer</v>
      </c>
      <c r="T97" t="str">
        <f t="shared" si="3"/>
        <v>Regular Viewer</v>
      </c>
    </row>
    <row r="98" spans="1:20" x14ac:dyDescent="0.3">
      <c r="A98" t="s">
        <v>157</v>
      </c>
      <c r="B98" s="1">
        <v>45320</v>
      </c>
      <c r="C98">
        <v>2024</v>
      </c>
      <c r="D98" t="s">
        <v>62</v>
      </c>
      <c r="E98" t="s">
        <v>35</v>
      </c>
      <c r="F98" t="s">
        <v>21</v>
      </c>
      <c r="G98">
        <v>48</v>
      </c>
      <c r="H98" t="s">
        <v>22</v>
      </c>
      <c r="I98" t="s">
        <v>23</v>
      </c>
      <c r="J98" s="2">
        <v>499</v>
      </c>
      <c r="K98" t="s">
        <v>30</v>
      </c>
      <c r="L98">
        <v>49</v>
      </c>
      <c r="M98" t="s">
        <v>45</v>
      </c>
      <c r="N98" t="s">
        <v>55</v>
      </c>
      <c r="O98">
        <v>37</v>
      </c>
      <c r="P98" t="s">
        <v>27</v>
      </c>
      <c r="Q98">
        <v>5</v>
      </c>
      <c r="R98" s="2">
        <v>499</v>
      </c>
      <c r="S98" t="str">
        <f t="shared" si="2"/>
        <v>Mature viewer</v>
      </c>
      <c r="T98" t="str">
        <f t="shared" si="3"/>
        <v>Engaged Viewer</v>
      </c>
    </row>
    <row r="99" spans="1:20" x14ac:dyDescent="0.3">
      <c r="A99" t="s">
        <v>158</v>
      </c>
      <c r="B99" s="1">
        <v>45321</v>
      </c>
      <c r="C99">
        <v>2024</v>
      </c>
      <c r="D99" t="s">
        <v>62</v>
      </c>
      <c r="E99" t="s">
        <v>20</v>
      </c>
      <c r="F99" t="s">
        <v>21</v>
      </c>
      <c r="G99">
        <v>53</v>
      </c>
      <c r="H99" t="s">
        <v>36</v>
      </c>
      <c r="I99" t="s">
        <v>37</v>
      </c>
      <c r="J99" s="2">
        <v>199</v>
      </c>
      <c r="K99" t="s">
        <v>24</v>
      </c>
      <c r="L99">
        <v>54</v>
      </c>
      <c r="M99" t="s">
        <v>45</v>
      </c>
      <c r="N99" t="s">
        <v>58</v>
      </c>
      <c r="O99">
        <v>18</v>
      </c>
      <c r="P99" t="s">
        <v>27</v>
      </c>
      <c r="Q99">
        <v>4</v>
      </c>
      <c r="R99" s="2">
        <v>199</v>
      </c>
      <c r="S99" t="str">
        <f t="shared" si="2"/>
        <v>Mature viewer</v>
      </c>
      <c r="T99" t="str">
        <f t="shared" si="3"/>
        <v>Binge watcher</v>
      </c>
    </row>
    <row r="100" spans="1:20" x14ac:dyDescent="0.3">
      <c r="A100" t="s">
        <v>159</v>
      </c>
      <c r="B100" s="1">
        <v>44589</v>
      </c>
      <c r="C100">
        <v>2022</v>
      </c>
      <c r="D100" t="s">
        <v>62</v>
      </c>
      <c r="E100" t="s">
        <v>20</v>
      </c>
      <c r="F100" t="s">
        <v>29</v>
      </c>
      <c r="G100">
        <v>32</v>
      </c>
      <c r="H100" t="s">
        <v>36</v>
      </c>
      <c r="I100" t="s">
        <v>23</v>
      </c>
      <c r="J100" s="2">
        <v>499</v>
      </c>
      <c r="K100" t="s">
        <v>44</v>
      </c>
      <c r="L100">
        <v>31</v>
      </c>
      <c r="M100" t="s">
        <v>31</v>
      </c>
      <c r="N100" t="s">
        <v>55</v>
      </c>
      <c r="O100">
        <v>6</v>
      </c>
      <c r="P100" t="s">
        <v>27</v>
      </c>
      <c r="Q100">
        <v>3</v>
      </c>
      <c r="R100" s="2">
        <v>499</v>
      </c>
      <c r="S100" t="str">
        <f t="shared" si="2"/>
        <v>Young Professionals</v>
      </c>
      <c r="T100" t="str">
        <f t="shared" si="3"/>
        <v>Regular Viewer</v>
      </c>
    </row>
    <row r="101" spans="1:20" x14ac:dyDescent="0.3">
      <c r="A101" t="s">
        <v>160</v>
      </c>
      <c r="B101" s="1">
        <v>45410</v>
      </c>
      <c r="C101">
        <v>2024</v>
      </c>
      <c r="D101" t="s">
        <v>51</v>
      </c>
      <c r="E101" t="s">
        <v>43</v>
      </c>
      <c r="F101" t="s">
        <v>63</v>
      </c>
      <c r="G101">
        <v>46</v>
      </c>
      <c r="H101" t="s">
        <v>22</v>
      </c>
      <c r="I101" t="s">
        <v>37</v>
      </c>
      <c r="J101" s="2">
        <v>199</v>
      </c>
      <c r="K101" t="s">
        <v>44</v>
      </c>
      <c r="L101">
        <v>46</v>
      </c>
      <c r="M101" t="s">
        <v>25</v>
      </c>
      <c r="N101" t="s">
        <v>55</v>
      </c>
      <c r="O101">
        <v>28</v>
      </c>
      <c r="P101" t="s">
        <v>27</v>
      </c>
      <c r="Q101">
        <v>5</v>
      </c>
      <c r="R101" s="2">
        <v>199</v>
      </c>
      <c r="S101" t="str">
        <f t="shared" si="2"/>
        <v>Mature viewer</v>
      </c>
      <c r="T101" t="str">
        <f t="shared" si="3"/>
        <v>Engaged Viewer</v>
      </c>
    </row>
    <row r="102" spans="1:20" x14ac:dyDescent="0.3">
      <c r="A102" t="s">
        <v>161</v>
      </c>
      <c r="B102" s="1">
        <v>45611</v>
      </c>
      <c r="C102">
        <v>2024</v>
      </c>
      <c r="D102" t="s">
        <v>19</v>
      </c>
      <c r="E102" t="s">
        <v>52</v>
      </c>
      <c r="F102" t="s">
        <v>63</v>
      </c>
      <c r="G102">
        <v>29</v>
      </c>
      <c r="H102" t="s">
        <v>36</v>
      </c>
      <c r="I102" t="s">
        <v>37</v>
      </c>
      <c r="J102" s="2">
        <v>199</v>
      </c>
      <c r="K102" t="s">
        <v>57</v>
      </c>
      <c r="L102">
        <v>24</v>
      </c>
      <c r="M102" t="s">
        <v>41</v>
      </c>
      <c r="N102" t="s">
        <v>26</v>
      </c>
      <c r="O102">
        <v>41</v>
      </c>
      <c r="P102" t="s">
        <v>27</v>
      </c>
      <c r="Q102">
        <v>4</v>
      </c>
      <c r="R102" s="2">
        <v>199</v>
      </c>
      <c r="S102" t="str">
        <f t="shared" si="2"/>
        <v>Young Professionals</v>
      </c>
      <c r="T102" t="str">
        <f t="shared" si="3"/>
        <v>Regular Viewer</v>
      </c>
    </row>
    <row r="103" spans="1:20" x14ac:dyDescent="0.3">
      <c r="A103" t="s">
        <v>162</v>
      </c>
      <c r="B103" s="1">
        <v>45457</v>
      </c>
      <c r="C103">
        <v>2024</v>
      </c>
      <c r="D103" t="s">
        <v>69</v>
      </c>
      <c r="E103" t="s">
        <v>43</v>
      </c>
      <c r="F103" t="s">
        <v>29</v>
      </c>
      <c r="G103">
        <v>40</v>
      </c>
      <c r="H103" t="s">
        <v>36</v>
      </c>
      <c r="I103" t="s">
        <v>37</v>
      </c>
      <c r="J103" s="2">
        <v>199</v>
      </c>
      <c r="K103" t="s">
        <v>30</v>
      </c>
      <c r="L103">
        <v>59</v>
      </c>
      <c r="M103" t="s">
        <v>45</v>
      </c>
      <c r="N103" t="s">
        <v>26</v>
      </c>
      <c r="O103">
        <v>31</v>
      </c>
      <c r="P103" t="s">
        <v>27</v>
      </c>
      <c r="Q103">
        <v>4</v>
      </c>
      <c r="R103" s="2">
        <v>199</v>
      </c>
      <c r="S103" t="str">
        <f t="shared" si="2"/>
        <v>mid career adult</v>
      </c>
      <c r="T103" t="str">
        <f t="shared" si="3"/>
        <v>Binge watcher</v>
      </c>
    </row>
    <row r="104" spans="1:20" x14ac:dyDescent="0.3">
      <c r="A104" t="s">
        <v>163</v>
      </c>
      <c r="B104" s="1">
        <v>45110</v>
      </c>
      <c r="C104">
        <v>2023</v>
      </c>
      <c r="D104" t="s">
        <v>85</v>
      </c>
      <c r="E104" t="s">
        <v>52</v>
      </c>
      <c r="F104" t="s">
        <v>63</v>
      </c>
      <c r="G104">
        <v>42</v>
      </c>
      <c r="H104" t="s">
        <v>22</v>
      </c>
      <c r="I104" t="s">
        <v>48</v>
      </c>
      <c r="J104" s="2">
        <v>649</v>
      </c>
      <c r="K104" t="s">
        <v>75</v>
      </c>
      <c r="L104">
        <v>27</v>
      </c>
      <c r="M104" t="s">
        <v>31</v>
      </c>
      <c r="N104" t="s">
        <v>55</v>
      </c>
      <c r="O104">
        <v>23</v>
      </c>
      <c r="P104" t="s">
        <v>27</v>
      </c>
      <c r="Q104">
        <v>5</v>
      </c>
      <c r="R104" s="2">
        <v>649</v>
      </c>
      <c r="S104" t="str">
        <f t="shared" si="2"/>
        <v>mid career adult</v>
      </c>
      <c r="T104" t="str">
        <f t="shared" si="3"/>
        <v>Regular Viewer</v>
      </c>
    </row>
    <row r="105" spans="1:20" x14ac:dyDescent="0.3">
      <c r="A105" t="s">
        <v>164</v>
      </c>
      <c r="B105" s="1">
        <v>46016</v>
      </c>
      <c r="C105">
        <v>2025</v>
      </c>
      <c r="D105" t="s">
        <v>39</v>
      </c>
      <c r="E105" t="s">
        <v>20</v>
      </c>
      <c r="F105" t="s">
        <v>63</v>
      </c>
      <c r="G105">
        <v>22</v>
      </c>
      <c r="H105" t="s">
        <v>36</v>
      </c>
      <c r="I105" t="s">
        <v>23</v>
      </c>
      <c r="J105" s="2">
        <v>499</v>
      </c>
      <c r="K105" t="s">
        <v>67</v>
      </c>
      <c r="L105">
        <v>20</v>
      </c>
      <c r="M105" t="s">
        <v>41</v>
      </c>
      <c r="N105" t="s">
        <v>26</v>
      </c>
      <c r="O105">
        <v>14</v>
      </c>
      <c r="P105" t="s">
        <v>73</v>
      </c>
      <c r="Q105">
        <v>4</v>
      </c>
      <c r="R105" s="2">
        <v>0</v>
      </c>
      <c r="S105" t="str">
        <f t="shared" si="2"/>
        <v>Genz viewer</v>
      </c>
      <c r="T105" t="str">
        <f t="shared" si="3"/>
        <v>Casual Viewer</v>
      </c>
    </row>
    <row r="106" spans="1:20" x14ac:dyDescent="0.3">
      <c r="A106" t="s">
        <v>165</v>
      </c>
      <c r="B106" s="1">
        <v>45905</v>
      </c>
      <c r="C106">
        <v>2025</v>
      </c>
      <c r="D106" t="s">
        <v>60</v>
      </c>
      <c r="E106" t="s">
        <v>20</v>
      </c>
      <c r="F106" t="s">
        <v>29</v>
      </c>
      <c r="G106">
        <v>25</v>
      </c>
      <c r="H106" t="s">
        <v>22</v>
      </c>
      <c r="I106" t="s">
        <v>48</v>
      </c>
      <c r="J106" s="2">
        <v>649</v>
      </c>
      <c r="K106" t="s">
        <v>40</v>
      </c>
      <c r="L106">
        <v>47</v>
      </c>
      <c r="M106" t="s">
        <v>31</v>
      </c>
      <c r="N106" t="s">
        <v>32</v>
      </c>
      <c r="O106">
        <v>23</v>
      </c>
      <c r="P106" t="s">
        <v>27</v>
      </c>
      <c r="Q106">
        <v>5</v>
      </c>
      <c r="R106" s="2">
        <v>649</v>
      </c>
      <c r="S106" t="str">
        <f t="shared" si="2"/>
        <v>Young Professionals</v>
      </c>
      <c r="T106" t="str">
        <f t="shared" si="3"/>
        <v>Engaged Viewer</v>
      </c>
    </row>
    <row r="107" spans="1:20" x14ac:dyDescent="0.3">
      <c r="A107" t="s">
        <v>166</v>
      </c>
      <c r="B107" s="1">
        <v>45108</v>
      </c>
      <c r="C107">
        <v>2023</v>
      </c>
      <c r="D107" t="s">
        <v>85</v>
      </c>
      <c r="E107" t="s">
        <v>20</v>
      </c>
      <c r="F107" t="s">
        <v>29</v>
      </c>
      <c r="G107">
        <v>39</v>
      </c>
      <c r="H107" t="s">
        <v>22</v>
      </c>
      <c r="I107" t="s">
        <v>37</v>
      </c>
      <c r="J107" s="2">
        <v>199</v>
      </c>
      <c r="K107" t="s">
        <v>75</v>
      </c>
      <c r="L107">
        <v>41</v>
      </c>
      <c r="M107" t="s">
        <v>45</v>
      </c>
      <c r="N107" t="s">
        <v>26</v>
      </c>
      <c r="O107">
        <v>22</v>
      </c>
      <c r="P107" t="s">
        <v>27</v>
      </c>
      <c r="Q107">
        <v>4</v>
      </c>
      <c r="R107" s="2">
        <v>199</v>
      </c>
      <c r="S107" t="str">
        <f t="shared" si="2"/>
        <v>mid career adult</v>
      </c>
      <c r="T107" t="str">
        <f t="shared" si="3"/>
        <v>Engaged Viewer</v>
      </c>
    </row>
    <row r="108" spans="1:20" x14ac:dyDescent="0.3">
      <c r="A108" t="s">
        <v>167</v>
      </c>
      <c r="B108" s="1">
        <v>45833</v>
      </c>
      <c r="C108">
        <v>2025</v>
      </c>
      <c r="D108" t="s">
        <v>69</v>
      </c>
      <c r="E108" t="s">
        <v>43</v>
      </c>
      <c r="F108" t="s">
        <v>21</v>
      </c>
      <c r="G108">
        <v>40</v>
      </c>
      <c r="H108" t="s">
        <v>22</v>
      </c>
      <c r="I108" t="s">
        <v>48</v>
      </c>
      <c r="J108" s="2">
        <v>649</v>
      </c>
      <c r="K108" t="s">
        <v>49</v>
      </c>
      <c r="L108">
        <v>33</v>
      </c>
      <c r="M108" t="s">
        <v>25</v>
      </c>
      <c r="N108" t="s">
        <v>26</v>
      </c>
      <c r="O108">
        <v>47</v>
      </c>
      <c r="P108" t="s">
        <v>27</v>
      </c>
      <c r="Q108">
        <v>5</v>
      </c>
      <c r="R108" s="2">
        <v>649</v>
      </c>
      <c r="S108" t="str">
        <f t="shared" si="2"/>
        <v>mid career adult</v>
      </c>
      <c r="T108" t="str">
        <f t="shared" si="3"/>
        <v>Regular Viewer</v>
      </c>
    </row>
    <row r="109" spans="1:20" x14ac:dyDescent="0.3">
      <c r="A109" t="s">
        <v>168</v>
      </c>
      <c r="B109" s="1">
        <v>44633</v>
      </c>
      <c r="C109">
        <v>2022</v>
      </c>
      <c r="D109" t="s">
        <v>66</v>
      </c>
      <c r="E109" t="s">
        <v>52</v>
      </c>
      <c r="F109" t="s">
        <v>21</v>
      </c>
      <c r="G109">
        <v>42</v>
      </c>
      <c r="H109" t="s">
        <v>36</v>
      </c>
      <c r="I109" t="s">
        <v>23</v>
      </c>
      <c r="J109" s="2">
        <v>499</v>
      </c>
      <c r="K109" t="s">
        <v>44</v>
      </c>
      <c r="L109">
        <v>37</v>
      </c>
      <c r="M109" t="s">
        <v>31</v>
      </c>
      <c r="N109" t="s">
        <v>26</v>
      </c>
      <c r="O109">
        <v>27</v>
      </c>
      <c r="P109" t="s">
        <v>27</v>
      </c>
      <c r="Q109">
        <v>5</v>
      </c>
      <c r="R109" s="2">
        <v>499</v>
      </c>
      <c r="S109" t="str">
        <f t="shared" si="2"/>
        <v>mid career adult</v>
      </c>
      <c r="T109" t="str">
        <f t="shared" si="3"/>
        <v>Engaged Viewer</v>
      </c>
    </row>
    <row r="110" spans="1:20" x14ac:dyDescent="0.3">
      <c r="A110" t="s">
        <v>169</v>
      </c>
      <c r="B110" s="1">
        <v>45197</v>
      </c>
      <c r="C110">
        <v>2023</v>
      </c>
      <c r="D110" t="s">
        <v>60</v>
      </c>
      <c r="E110" t="s">
        <v>43</v>
      </c>
      <c r="F110" t="s">
        <v>29</v>
      </c>
      <c r="G110">
        <v>34</v>
      </c>
      <c r="H110" t="s">
        <v>36</v>
      </c>
      <c r="I110" t="s">
        <v>37</v>
      </c>
      <c r="J110" s="2">
        <v>199</v>
      </c>
      <c r="K110" t="s">
        <v>40</v>
      </c>
      <c r="L110">
        <v>49</v>
      </c>
      <c r="M110" t="s">
        <v>25</v>
      </c>
      <c r="N110" t="s">
        <v>58</v>
      </c>
      <c r="O110">
        <v>5</v>
      </c>
      <c r="P110" t="s">
        <v>73</v>
      </c>
      <c r="Q110">
        <v>4</v>
      </c>
      <c r="R110" s="2">
        <v>0</v>
      </c>
      <c r="S110" t="str">
        <f t="shared" si="2"/>
        <v>Young Professionals</v>
      </c>
      <c r="T110" t="str">
        <f t="shared" si="3"/>
        <v>Engaged Viewer</v>
      </c>
    </row>
    <row r="111" spans="1:20" x14ac:dyDescent="0.3">
      <c r="A111" t="s">
        <v>170</v>
      </c>
      <c r="B111" s="1">
        <v>44977</v>
      </c>
      <c r="C111">
        <v>2023</v>
      </c>
      <c r="D111" t="s">
        <v>111</v>
      </c>
      <c r="E111" t="s">
        <v>52</v>
      </c>
      <c r="F111" t="s">
        <v>63</v>
      </c>
      <c r="G111">
        <v>48</v>
      </c>
      <c r="H111" t="s">
        <v>22</v>
      </c>
      <c r="I111" t="s">
        <v>48</v>
      </c>
      <c r="J111" s="2">
        <v>649</v>
      </c>
      <c r="K111" t="s">
        <v>30</v>
      </c>
      <c r="L111">
        <v>25</v>
      </c>
      <c r="M111" t="s">
        <v>31</v>
      </c>
      <c r="N111" t="s">
        <v>26</v>
      </c>
      <c r="O111">
        <v>14</v>
      </c>
      <c r="P111" t="s">
        <v>27</v>
      </c>
      <c r="Q111">
        <v>5</v>
      </c>
      <c r="R111" s="2">
        <v>649</v>
      </c>
      <c r="S111" t="str">
        <f t="shared" si="2"/>
        <v>Mature viewer</v>
      </c>
      <c r="T111" t="str">
        <f t="shared" si="3"/>
        <v>Regular Viewer</v>
      </c>
    </row>
    <row r="112" spans="1:20" x14ac:dyDescent="0.3">
      <c r="A112" t="s">
        <v>171</v>
      </c>
      <c r="B112" s="1">
        <v>44843</v>
      </c>
      <c r="C112">
        <v>2022</v>
      </c>
      <c r="D112" t="s">
        <v>47</v>
      </c>
      <c r="E112" t="s">
        <v>35</v>
      </c>
      <c r="F112" t="s">
        <v>21</v>
      </c>
      <c r="G112">
        <v>36</v>
      </c>
      <c r="H112" t="s">
        <v>36</v>
      </c>
      <c r="I112" t="s">
        <v>23</v>
      </c>
      <c r="J112" s="2">
        <v>499</v>
      </c>
      <c r="K112" t="s">
        <v>57</v>
      </c>
      <c r="L112">
        <v>60</v>
      </c>
      <c r="M112" t="s">
        <v>45</v>
      </c>
      <c r="N112" t="s">
        <v>58</v>
      </c>
      <c r="O112">
        <v>35</v>
      </c>
      <c r="P112" t="s">
        <v>27</v>
      </c>
      <c r="Q112">
        <v>5</v>
      </c>
      <c r="R112" s="2">
        <v>499</v>
      </c>
      <c r="S112" t="str">
        <f t="shared" si="2"/>
        <v>mid career adult</v>
      </c>
      <c r="T112" t="str">
        <f t="shared" si="3"/>
        <v>Binge watcher</v>
      </c>
    </row>
    <row r="113" spans="1:20" x14ac:dyDescent="0.3">
      <c r="A113" t="s">
        <v>172</v>
      </c>
      <c r="B113" s="1">
        <v>45801</v>
      </c>
      <c r="C113">
        <v>2025</v>
      </c>
      <c r="D113" t="s">
        <v>79</v>
      </c>
      <c r="E113" t="s">
        <v>52</v>
      </c>
      <c r="F113" t="s">
        <v>21</v>
      </c>
      <c r="G113">
        <v>49</v>
      </c>
      <c r="H113" t="s">
        <v>36</v>
      </c>
      <c r="I113" t="s">
        <v>23</v>
      </c>
      <c r="J113" s="2">
        <v>499</v>
      </c>
      <c r="K113" t="s">
        <v>49</v>
      </c>
      <c r="L113">
        <v>40</v>
      </c>
      <c r="M113" t="s">
        <v>41</v>
      </c>
      <c r="N113" t="s">
        <v>58</v>
      </c>
      <c r="O113">
        <v>1</v>
      </c>
      <c r="P113" t="s">
        <v>27</v>
      </c>
      <c r="Q113">
        <v>5</v>
      </c>
      <c r="R113" s="2">
        <v>499</v>
      </c>
      <c r="S113" t="str">
        <f t="shared" si="2"/>
        <v>Mature viewer</v>
      </c>
      <c r="T113" t="str">
        <f t="shared" si="3"/>
        <v>Engaged Viewer</v>
      </c>
    </row>
    <row r="114" spans="1:20" x14ac:dyDescent="0.3">
      <c r="A114" t="s">
        <v>173</v>
      </c>
      <c r="B114" s="1">
        <v>44875</v>
      </c>
      <c r="C114">
        <v>2022</v>
      </c>
      <c r="D114" t="s">
        <v>19</v>
      </c>
      <c r="E114" t="s">
        <v>35</v>
      </c>
      <c r="F114" t="s">
        <v>21</v>
      </c>
      <c r="G114">
        <v>40</v>
      </c>
      <c r="H114" t="s">
        <v>36</v>
      </c>
      <c r="I114" t="s">
        <v>48</v>
      </c>
      <c r="J114" s="2">
        <v>649</v>
      </c>
      <c r="K114" t="s">
        <v>24</v>
      </c>
      <c r="L114">
        <v>38</v>
      </c>
      <c r="M114" t="s">
        <v>31</v>
      </c>
      <c r="N114" t="s">
        <v>55</v>
      </c>
      <c r="O114">
        <v>1</v>
      </c>
      <c r="P114" t="s">
        <v>27</v>
      </c>
      <c r="Q114">
        <v>5</v>
      </c>
      <c r="R114" s="2">
        <v>649</v>
      </c>
      <c r="S114" t="str">
        <f t="shared" si="2"/>
        <v>mid career adult</v>
      </c>
      <c r="T114" t="str">
        <f t="shared" si="3"/>
        <v>Engaged Viewer</v>
      </c>
    </row>
    <row r="115" spans="1:20" x14ac:dyDescent="0.3">
      <c r="A115" t="s">
        <v>174</v>
      </c>
      <c r="B115" s="1">
        <v>44796</v>
      </c>
      <c r="C115">
        <v>2022</v>
      </c>
      <c r="D115" t="s">
        <v>34</v>
      </c>
      <c r="E115" t="s">
        <v>35</v>
      </c>
      <c r="F115" t="s">
        <v>29</v>
      </c>
      <c r="G115">
        <v>36</v>
      </c>
      <c r="H115" t="s">
        <v>36</v>
      </c>
      <c r="I115" t="s">
        <v>37</v>
      </c>
      <c r="J115" s="2">
        <v>199</v>
      </c>
      <c r="K115" t="s">
        <v>53</v>
      </c>
      <c r="L115">
        <v>44</v>
      </c>
      <c r="M115" t="s">
        <v>25</v>
      </c>
      <c r="N115" t="s">
        <v>55</v>
      </c>
      <c r="O115">
        <v>27</v>
      </c>
      <c r="P115" t="s">
        <v>27</v>
      </c>
      <c r="Q115">
        <v>5</v>
      </c>
      <c r="R115" s="2">
        <v>199</v>
      </c>
      <c r="S115" t="str">
        <f t="shared" si="2"/>
        <v>mid career adult</v>
      </c>
      <c r="T115" t="str">
        <f t="shared" si="3"/>
        <v>Engaged Viewer</v>
      </c>
    </row>
    <row r="116" spans="1:20" x14ac:dyDescent="0.3">
      <c r="A116" t="s">
        <v>175</v>
      </c>
      <c r="B116" s="1">
        <v>45765</v>
      </c>
      <c r="C116">
        <v>2025</v>
      </c>
      <c r="D116" t="s">
        <v>51</v>
      </c>
      <c r="E116" t="s">
        <v>43</v>
      </c>
      <c r="F116" t="s">
        <v>21</v>
      </c>
      <c r="G116">
        <v>38</v>
      </c>
      <c r="H116" t="s">
        <v>36</v>
      </c>
      <c r="I116" t="s">
        <v>23</v>
      </c>
      <c r="J116" s="2">
        <v>499</v>
      </c>
      <c r="K116" t="s">
        <v>67</v>
      </c>
      <c r="L116">
        <v>59</v>
      </c>
      <c r="M116" t="s">
        <v>31</v>
      </c>
      <c r="N116" t="s">
        <v>32</v>
      </c>
      <c r="O116">
        <v>17</v>
      </c>
      <c r="P116" t="s">
        <v>27</v>
      </c>
      <c r="Q116">
        <v>3</v>
      </c>
      <c r="R116" s="2">
        <v>499</v>
      </c>
      <c r="S116" t="str">
        <f t="shared" si="2"/>
        <v>mid career adult</v>
      </c>
      <c r="T116" t="str">
        <f t="shared" si="3"/>
        <v>Binge watcher</v>
      </c>
    </row>
    <row r="117" spans="1:20" x14ac:dyDescent="0.3">
      <c r="A117" t="s">
        <v>176</v>
      </c>
      <c r="B117" s="1">
        <v>45128</v>
      </c>
      <c r="C117">
        <v>2023</v>
      </c>
      <c r="D117" t="s">
        <v>85</v>
      </c>
      <c r="E117" t="s">
        <v>52</v>
      </c>
      <c r="F117" t="s">
        <v>63</v>
      </c>
      <c r="G117">
        <v>30</v>
      </c>
      <c r="H117" t="s">
        <v>36</v>
      </c>
      <c r="I117" t="s">
        <v>37</v>
      </c>
      <c r="J117" s="2">
        <v>199</v>
      </c>
      <c r="K117" t="s">
        <v>30</v>
      </c>
      <c r="L117">
        <v>38</v>
      </c>
      <c r="M117" t="s">
        <v>31</v>
      </c>
      <c r="N117" t="s">
        <v>58</v>
      </c>
      <c r="O117">
        <v>4</v>
      </c>
      <c r="P117" t="s">
        <v>27</v>
      </c>
      <c r="Q117">
        <v>5</v>
      </c>
      <c r="R117" s="2">
        <v>199</v>
      </c>
      <c r="S117" t="str">
        <f t="shared" si="2"/>
        <v>Young Professionals</v>
      </c>
      <c r="T117" t="str">
        <f t="shared" si="3"/>
        <v>Engaged Viewer</v>
      </c>
    </row>
    <row r="118" spans="1:20" x14ac:dyDescent="0.3">
      <c r="A118" t="s">
        <v>177</v>
      </c>
      <c r="B118" s="1">
        <v>44600</v>
      </c>
      <c r="C118">
        <v>2022</v>
      </c>
      <c r="D118" t="s">
        <v>111</v>
      </c>
      <c r="E118" t="s">
        <v>43</v>
      </c>
      <c r="F118" t="s">
        <v>29</v>
      </c>
      <c r="G118">
        <v>51</v>
      </c>
      <c r="H118" t="s">
        <v>22</v>
      </c>
      <c r="I118" t="s">
        <v>37</v>
      </c>
      <c r="J118" s="2">
        <v>199</v>
      </c>
      <c r="K118" t="s">
        <v>40</v>
      </c>
      <c r="L118">
        <v>53</v>
      </c>
      <c r="M118" t="s">
        <v>25</v>
      </c>
      <c r="N118" t="s">
        <v>32</v>
      </c>
      <c r="O118">
        <v>12</v>
      </c>
      <c r="P118" t="s">
        <v>27</v>
      </c>
      <c r="Q118">
        <v>5</v>
      </c>
      <c r="R118" s="2">
        <v>199</v>
      </c>
      <c r="S118" t="str">
        <f t="shared" si="2"/>
        <v>Mature viewer</v>
      </c>
      <c r="T118" t="str">
        <f t="shared" si="3"/>
        <v>Binge watcher</v>
      </c>
    </row>
    <row r="119" spans="1:20" x14ac:dyDescent="0.3">
      <c r="A119" t="s">
        <v>178</v>
      </c>
      <c r="B119" s="1">
        <v>45173</v>
      </c>
      <c r="C119">
        <v>2023</v>
      </c>
      <c r="D119" t="s">
        <v>60</v>
      </c>
      <c r="E119" t="s">
        <v>43</v>
      </c>
      <c r="F119" t="s">
        <v>63</v>
      </c>
      <c r="G119">
        <v>24</v>
      </c>
      <c r="H119" t="s">
        <v>22</v>
      </c>
      <c r="I119" t="s">
        <v>23</v>
      </c>
      <c r="J119" s="2">
        <v>499</v>
      </c>
      <c r="K119" t="s">
        <v>67</v>
      </c>
      <c r="L119">
        <v>40</v>
      </c>
      <c r="M119" t="s">
        <v>31</v>
      </c>
      <c r="N119" t="s">
        <v>55</v>
      </c>
      <c r="O119">
        <v>35</v>
      </c>
      <c r="P119" t="s">
        <v>27</v>
      </c>
      <c r="Q119">
        <v>5</v>
      </c>
      <c r="R119" s="2">
        <v>499</v>
      </c>
      <c r="S119" t="str">
        <f t="shared" si="2"/>
        <v>Genz viewer</v>
      </c>
      <c r="T119" t="str">
        <f t="shared" si="3"/>
        <v>Engaged Viewer</v>
      </c>
    </row>
    <row r="120" spans="1:20" x14ac:dyDescent="0.3">
      <c r="A120" t="s">
        <v>179</v>
      </c>
      <c r="B120" s="1">
        <v>45413</v>
      </c>
      <c r="C120">
        <v>2024</v>
      </c>
      <c r="D120" t="s">
        <v>79</v>
      </c>
      <c r="E120" t="s">
        <v>20</v>
      </c>
      <c r="F120" t="s">
        <v>21</v>
      </c>
      <c r="G120">
        <v>37</v>
      </c>
      <c r="H120" t="s">
        <v>22</v>
      </c>
      <c r="I120" t="s">
        <v>37</v>
      </c>
      <c r="J120" s="2">
        <v>199</v>
      </c>
      <c r="K120" t="s">
        <v>40</v>
      </c>
      <c r="L120">
        <v>59</v>
      </c>
      <c r="M120" t="s">
        <v>45</v>
      </c>
      <c r="N120" t="s">
        <v>58</v>
      </c>
      <c r="O120">
        <v>7</v>
      </c>
      <c r="P120" t="s">
        <v>73</v>
      </c>
      <c r="Q120">
        <v>4</v>
      </c>
      <c r="R120" s="2">
        <v>0</v>
      </c>
      <c r="S120" t="str">
        <f t="shared" si="2"/>
        <v>mid career adult</v>
      </c>
      <c r="T120" t="str">
        <f t="shared" si="3"/>
        <v>Binge watcher</v>
      </c>
    </row>
    <row r="121" spans="1:20" x14ac:dyDescent="0.3">
      <c r="A121" t="s">
        <v>180</v>
      </c>
      <c r="B121" s="1">
        <v>45943</v>
      </c>
      <c r="C121">
        <v>2025</v>
      </c>
      <c r="D121" t="s">
        <v>47</v>
      </c>
      <c r="E121" t="s">
        <v>20</v>
      </c>
      <c r="F121" t="s">
        <v>21</v>
      </c>
      <c r="G121">
        <v>24</v>
      </c>
      <c r="H121" t="s">
        <v>36</v>
      </c>
      <c r="I121" t="s">
        <v>48</v>
      </c>
      <c r="J121" s="2">
        <v>649</v>
      </c>
      <c r="K121" t="s">
        <v>67</v>
      </c>
      <c r="L121">
        <v>30</v>
      </c>
      <c r="M121" t="s">
        <v>45</v>
      </c>
      <c r="N121" t="s">
        <v>55</v>
      </c>
      <c r="O121">
        <v>12</v>
      </c>
      <c r="P121" t="s">
        <v>27</v>
      </c>
      <c r="Q121">
        <v>3</v>
      </c>
      <c r="R121" s="2">
        <v>649</v>
      </c>
      <c r="S121" t="str">
        <f t="shared" si="2"/>
        <v>Genz viewer</v>
      </c>
      <c r="T121" t="str">
        <f t="shared" si="3"/>
        <v>Regular Viewer</v>
      </c>
    </row>
    <row r="122" spans="1:20" x14ac:dyDescent="0.3">
      <c r="A122" t="s">
        <v>181</v>
      </c>
      <c r="B122" s="1">
        <v>44794</v>
      </c>
      <c r="C122">
        <v>2022</v>
      </c>
      <c r="D122" t="s">
        <v>34</v>
      </c>
      <c r="E122" t="s">
        <v>35</v>
      </c>
      <c r="F122" t="s">
        <v>21</v>
      </c>
      <c r="G122">
        <v>18</v>
      </c>
      <c r="H122" t="s">
        <v>36</v>
      </c>
      <c r="I122" t="s">
        <v>48</v>
      </c>
      <c r="J122" s="2">
        <v>649</v>
      </c>
      <c r="K122" t="s">
        <v>24</v>
      </c>
      <c r="L122">
        <v>37</v>
      </c>
      <c r="M122" t="s">
        <v>45</v>
      </c>
      <c r="N122" t="s">
        <v>32</v>
      </c>
      <c r="O122">
        <v>4</v>
      </c>
      <c r="P122" t="s">
        <v>27</v>
      </c>
      <c r="Q122">
        <v>5</v>
      </c>
      <c r="R122" s="2">
        <v>649</v>
      </c>
      <c r="S122" t="str">
        <f t="shared" si="2"/>
        <v>Genz viewer</v>
      </c>
      <c r="T122" t="str">
        <f t="shared" si="3"/>
        <v>Engaged Viewer</v>
      </c>
    </row>
    <row r="123" spans="1:20" x14ac:dyDescent="0.3">
      <c r="A123" t="s">
        <v>182</v>
      </c>
      <c r="B123" s="1">
        <v>44735</v>
      </c>
      <c r="C123">
        <v>2022</v>
      </c>
      <c r="D123" t="s">
        <v>69</v>
      </c>
      <c r="E123" t="s">
        <v>35</v>
      </c>
      <c r="F123" t="s">
        <v>63</v>
      </c>
      <c r="G123">
        <v>29</v>
      </c>
      <c r="H123" t="s">
        <v>22</v>
      </c>
      <c r="I123" t="s">
        <v>37</v>
      </c>
      <c r="J123" s="2">
        <v>199</v>
      </c>
      <c r="K123" t="s">
        <v>30</v>
      </c>
      <c r="L123">
        <v>52</v>
      </c>
      <c r="M123" t="s">
        <v>41</v>
      </c>
      <c r="N123" t="s">
        <v>32</v>
      </c>
      <c r="O123">
        <v>32</v>
      </c>
      <c r="P123" t="s">
        <v>27</v>
      </c>
      <c r="Q123">
        <v>5</v>
      </c>
      <c r="R123" s="2">
        <v>199</v>
      </c>
      <c r="S123" t="str">
        <f t="shared" si="2"/>
        <v>Young Professionals</v>
      </c>
      <c r="T123" t="str">
        <f t="shared" si="3"/>
        <v>Binge watcher</v>
      </c>
    </row>
    <row r="124" spans="1:20" x14ac:dyDescent="0.3">
      <c r="A124" t="s">
        <v>183</v>
      </c>
      <c r="B124" s="1">
        <v>45560</v>
      </c>
      <c r="C124">
        <v>2024</v>
      </c>
      <c r="D124" t="s">
        <v>60</v>
      </c>
      <c r="E124" t="s">
        <v>35</v>
      </c>
      <c r="F124" t="s">
        <v>63</v>
      </c>
      <c r="G124">
        <v>34</v>
      </c>
      <c r="H124" t="s">
        <v>36</v>
      </c>
      <c r="I124" t="s">
        <v>48</v>
      </c>
      <c r="J124" s="2">
        <v>649</v>
      </c>
      <c r="K124" t="s">
        <v>53</v>
      </c>
      <c r="L124">
        <v>24</v>
      </c>
      <c r="M124" t="s">
        <v>25</v>
      </c>
      <c r="N124" t="s">
        <v>26</v>
      </c>
      <c r="O124">
        <v>36</v>
      </c>
      <c r="P124" t="s">
        <v>27</v>
      </c>
      <c r="Q124">
        <v>3</v>
      </c>
      <c r="R124" s="2">
        <v>649</v>
      </c>
      <c r="S124" t="str">
        <f t="shared" si="2"/>
        <v>Young Professionals</v>
      </c>
      <c r="T124" t="str">
        <f t="shared" si="3"/>
        <v>Regular Viewer</v>
      </c>
    </row>
    <row r="125" spans="1:20" x14ac:dyDescent="0.3">
      <c r="A125" t="s">
        <v>184</v>
      </c>
      <c r="B125" s="1">
        <v>45332</v>
      </c>
      <c r="C125">
        <v>2024</v>
      </c>
      <c r="D125" t="s">
        <v>111</v>
      </c>
      <c r="E125" t="s">
        <v>52</v>
      </c>
      <c r="F125" t="s">
        <v>21</v>
      </c>
      <c r="G125">
        <v>30</v>
      </c>
      <c r="H125" t="s">
        <v>36</v>
      </c>
      <c r="I125" t="s">
        <v>23</v>
      </c>
      <c r="J125" s="2">
        <v>499</v>
      </c>
      <c r="K125" t="s">
        <v>57</v>
      </c>
      <c r="L125">
        <v>52</v>
      </c>
      <c r="M125" t="s">
        <v>41</v>
      </c>
      <c r="N125" t="s">
        <v>58</v>
      </c>
      <c r="O125">
        <v>41</v>
      </c>
      <c r="P125" t="s">
        <v>27</v>
      </c>
      <c r="Q125">
        <v>5</v>
      </c>
      <c r="R125" s="2">
        <v>499</v>
      </c>
      <c r="S125" t="str">
        <f t="shared" si="2"/>
        <v>Young Professionals</v>
      </c>
      <c r="T125" t="str">
        <f t="shared" si="3"/>
        <v>Binge watcher</v>
      </c>
    </row>
    <row r="126" spans="1:20" x14ac:dyDescent="0.3">
      <c r="A126" t="s">
        <v>185</v>
      </c>
      <c r="B126" s="1">
        <v>45606</v>
      </c>
      <c r="C126">
        <v>2024</v>
      </c>
      <c r="D126" t="s">
        <v>19</v>
      </c>
      <c r="E126" t="s">
        <v>52</v>
      </c>
      <c r="F126" t="s">
        <v>63</v>
      </c>
      <c r="G126">
        <v>19</v>
      </c>
      <c r="H126" t="s">
        <v>36</v>
      </c>
      <c r="I126" t="s">
        <v>23</v>
      </c>
      <c r="J126" s="2">
        <v>499</v>
      </c>
      <c r="K126" t="s">
        <v>75</v>
      </c>
      <c r="L126">
        <v>40</v>
      </c>
      <c r="M126" t="s">
        <v>45</v>
      </c>
      <c r="N126" t="s">
        <v>58</v>
      </c>
      <c r="O126">
        <v>40</v>
      </c>
      <c r="P126" t="s">
        <v>27</v>
      </c>
      <c r="Q126">
        <v>4</v>
      </c>
      <c r="R126" s="2">
        <v>499</v>
      </c>
      <c r="S126" t="str">
        <f t="shared" si="2"/>
        <v>Genz viewer</v>
      </c>
      <c r="T126" t="str">
        <f t="shared" si="3"/>
        <v>Engaged Viewer</v>
      </c>
    </row>
    <row r="127" spans="1:20" x14ac:dyDescent="0.3">
      <c r="A127" t="s">
        <v>186</v>
      </c>
      <c r="B127" s="1">
        <v>44709</v>
      </c>
      <c r="C127">
        <v>2022</v>
      </c>
      <c r="D127" t="s">
        <v>79</v>
      </c>
      <c r="E127" t="s">
        <v>20</v>
      </c>
      <c r="F127" t="s">
        <v>63</v>
      </c>
      <c r="G127">
        <v>30</v>
      </c>
      <c r="H127" t="s">
        <v>36</v>
      </c>
      <c r="I127" t="s">
        <v>48</v>
      </c>
      <c r="J127" s="2">
        <v>649</v>
      </c>
      <c r="K127" t="s">
        <v>49</v>
      </c>
      <c r="L127">
        <v>53</v>
      </c>
      <c r="M127" t="s">
        <v>45</v>
      </c>
      <c r="N127" t="s">
        <v>32</v>
      </c>
      <c r="O127">
        <v>13</v>
      </c>
      <c r="P127" t="s">
        <v>73</v>
      </c>
      <c r="Q127">
        <v>3</v>
      </c>
      <c r="R127" s="2">
        <v>0</v>
      </c>
      <c r="S127" t="str">
        <f t="shared" si="2"/>
        <v>Young Professionals</v>
      </c>
      <c r="T127" t="str">
        <f t="shared" si="3"/>
        <v>Binge watcher</v>
      </c>
    </row>
    <row r="128" spans="1:20" x14ac:dyDescent="0.3">
      <c r="A128" t="s">
        <v>187</v>
      </c>
      <c r="B128" s="1">
        <v>46002</v>
      </c>
      <c r="C128">
        <v>2025</v>
      </c>
      <c r="D128" t="s">
        <v>39</v>
      </c>
      <c r="E128" t="s">
        <v>43</v>
      </c>
      <c r="F128" t="s">
        <v>63</v>
      </c>
      <c r="G128">
        <v>23</v>
      </c>
      <c r="H128" t="s">
        <v>36</v>
      </c>
      <c r="I128" t="s">
        <v>48</v>
      </c>
      <c r="J128" s="2">
        <v>649</v>
      </c>
      <c r="K128" t="s">
        <v>40</v>
      </c>
      <c r="L128">
        <v>42</v>
      </c>
      <c r="M128" t="s">
        <v>31</v>
      </c>
      <c r="N128" t="s">
        <v>32</v>
      </c>
      <c r="O128">
        <v>35</v>
      </c>
      <c r="P128" t="s">
        <v>27</v>
      </c>
      <c r="Q128">
        <v>4</v>
      </c>
      <c r="R128" s="2">
        <v>649</v>
      </c>
      <c r="S128" t="str">
        <f t="shared" si="2"/>
        <v>Genz viewer</v>
      </c>
      <c r="T128" t="str">
        <f t="shared" si="3"/>
        <v>Engaged Viewer</v>
      </c>
    </row>
    <row r="129" spans="1:20" x14ac:dyDescent="0.3">
      <c r="A129" t="s">
        <v>188</v>
      </c>
      <c r="B129" s="1">
        <v>44588</v>
      </c>
      <c r="C129">
        <v>2022</v>
      </c>
      <c r="D129" t="s">
        <v>62</v>
      </c>
      <c r="E129" t="s">
        <v>43</v>
      </c>
      <c r="F129" t="s">
        <v>29</v>
      </c>
      <c r="G129">
        <v>37</v>
      </c>
      <c r="H129" t="s">
        <v>22</v>
      </c>
      <c r="I129" t="s">
        <v>48</v>
      </c>
      <c r="J129" s="2">
        <v>649</v>
      </c>
      <c r="K129" t="s">
        <v>49</v>
      </c>
      <c r="L129">
        <v>58</v>
      </c>
      <c r="M129" t="s">
        <v>25</v>
      </c>
      <c r="N129" t="s">
        <v>58</v>
      </c>
      <c r="O129">
        <v>12</v>
      </c>
      <c r="P129" t="s">
        <v>27</v>
      </c>
      <c r="Q129">
        <v>5</v>
      </c>
      <c r="R129" s="2">
        <v>649</v>
      </c>
      <c r="S129" t="str">
        <f t="shared" si="2"/>
        <v>mid career adult</v>
      </c>
      <c r="T129" t="str">
        <f t="shared" si="3"/>
        <v>Binge watcher</v>
      </c>
    </row>
    <row r="130" spans="1:20" x14ac:dyDescent="0.3">
      <c r="A130" t="s">
        <v>189</v>
      </c>
      <c r="B130" s="1">
        <v>45562</v>
      </c>
      <c r="C130">
        <v>2024</v>
      </c>
      <c r="D130" t="s">
        <v>60</v>
      </c>
      <c r="E130" t="s">
        <v>43</v>
      </c>
      <c r="F130" t="s">
        <v>21</v>
      </c>
      <c r="G130">
        <v>38</v>
      </c>
      <c r="H130" t="s">
        <v>36</v>
      </c>
      <c r="I130" t="s">
        <v>37</v>
      </c>
      <c r="J130" s="2">
        <v>199</v>
      </c>
      <c r="K130" t="s">
        <v>40</v>
      </c>
      <c r="L130">
        <v>55</v>
      </c>
      <c r="M130" t="s">
        <v>25</v>
      </c>
      <c r="N130" t="s">
        <v>26</v>
      </c>
      <c r="O130">
        <v>41</v>
      </c>
      <c r="P130" t="s">
        <v>27</v>
      </c>
      <c r="Q130">
        <v>4</v>
      </c>
      <c r="R130" s="2">
        <v>199</v>
      </c>
      <c r="S130" t="str">
        <f t="shared" si="2"/>
        <v>mid career adult</v>
      </c>
      <c r="T130" t="str">
        <f t="shared" si="3"/>
        <v>Binge watcher</v>
      </c>
    </row>
    <row r="131" spans="1:20" x14ac:dyDescent="0.3">
      <c r="A131" t="s">
        <v>190</v>
      </c>
      <c r="B131" s="1">
        <v>46002</v>
      </c>
      <c r="C131">
        <v>2025</v>
      </c>
      <c r="D131" t="s">
        <v>39</v>
      </c>
      <c r="E131" t="s">
        <v>52</v>
      </c>
      <c r="F131" t="s">
        <v>29</v>
      </c>
      <c r="G131">
        <v>26</v>
      </c>
      <c r="H131" t="s">
        <v>36</v>
      </c>
      <c r="I131" t="s">
        <v>23</v>
      </c>
      <c r="J131" s="2">
        <v>499</v>
      </c>
      <c r="K131" t="s">
        <v>24</v>
      </c>
      <c r="L131">
        <v>46</v>
      </c>
      <c r="M131" t="s">
        <v>31</v>
      </c>
      <c r="N131" t="s">
        <v>55</v>
      </c>
      <c r="O131">
        <v>19</v>
      </c>
      <c r="P131" t="s">
        <v>27</v>
      </c>
      <c r="Q131">
        <v>3</v>
      </c>
      <c r="R131" s="2">
        <v>499</v>
      </c>
      <c r="S131" t="str">
        <f t="shared" ref="S131:S194" si="4">IF(G131&lt;=24,"Genz viewer",IF(G131&lt;=34,"Young Professionals",IF(G131&lt;=44,"mid career adult",IF(G131&lt;=54,"Mature viewer","senior viewer"))))</f>
        <v>Young Professionals</v>
      </c>
      <c r="T131" t="str">
        <f t="shared" ref="T131:T194" si="5">IF(L131&lt;=20,"Casual Viewer",IF(L131&lt;=35,"Regular Viewer", IF(L131&lt;=50,"Engaged Viewer","Binge watcher")))</f>
        <v>Engaged Viewer</v>
      </c>
    </row>
    <row r="132" spans="1:20" x14ac:dyDescent="0.3">
      <c r="A132" t="s">
        <v>191</v>
      </c>
      <c r="B132" s="1">
        <v>44922</v>
      </c>
      <c r="C132">
        <v>2022</v>
      </c>
      <c r="D132" t="s">
        <v>39</v>
      </c>
      <c r="E132" t="s">
        <v>52</v>
      </c>
      <c r="F132" t="s">
        <v>29</v>
      </c>
      <c r="G132">
        <v>42</v>
      </c>
      <c r="H132" t="s">
        <v>22</v>
      </c>
      <c r="I132" t="s">
        <v>23</v>
      </c>
      <c r="J132" s="2">
        <v>499</v>
      </c>
      <c r="K132" t="s">
        <v>40</v>
      </c>
      <c r="L132">
        <v>27</v>
      </c>
      <c r="M132" t="s">
        <v>31</v>
      </c>
      <c r="N132" t="s">
        <v>58</v>
      </c>
      <c r="O132">
        <v>32</v>
      </c>
      <c r="P132" t="s">
        <v>27</v>
      </c>
      <c r="Q132">
        <v>3</v>
      </c>
      <c r="R132" s="2">
        <v>499</v>
      </c>
      <c r="S132" t="str">
        <f t="shared" si="4"/>
        <v>mid career adult</v>
      </c>
      <c r="T132" t="str">
        <f t="shared" si="5"/>
        <v>Regular Viewer</v>
      </c>
    </row>
    <row r="133" spans="1:20" x14ac:dyDescent="0.3">
      <c r="A133" t="s">
        <v>192</v>
      </c>
      <c r="B133" s="1">
        <v>45305</v>
      </c>
      <c r="C133">
        <v>2024</v>
      </c>
      <c r="D133" t="s">
        <v>62</v>
      </c>
      <c r="E133" t="s">
        <v>52</v>
      </c>
      <c r="F133" t="s">
        <v>29</v>
      </c>
      <c r="G133">
        <v>33</v>
      </c>
      <c r="H133" t="s">
        <v>22</v>
      </c>
      <c r="I133" t="s">
        <v>37</v>
      </c>
      <c r="J133" s="2">
        <v>199</v>
      </c>
      <c r="K133" t="s">
        <v>53</v>
      </c>
      <c r="L133">
        <v>25</v>
      </c>
      <c r="M133" t="s">
        <v>45</v>
      </c>
      <c r="N133" t="s">
        <v>32</v>
      </c>
      <c r="O133">
        <v>36</v>
      </c>
      <c r="P133" t="s">
        <v>27</v>
      </c>
      <c r="Q133">
        <v>5</v>
      </c>
      <c r="R133" s="2">
        <v>199</v>
      </c>
      <c r="S133" t="str">
        <f t="shared" si="4"/>
        <v>Young Professionals</v>
      </c>
      <c r="T133" t="str">
        <f t="shared" si="5"/>
        <v>Regular Viewer</v>
      </c>
    </row>
    <row r="134" spans="1:20" x14ac:dyDescent="0.3">
      <c r="A134" t="s">
        <v>193</v>
      </c>
      <c r="B134" s="1">
        <v>45829</v>
      </c>
      <c r="C134">
        <v>2025</v>
      </c>
      <c r="D134" t="s">
        <v>69</v>
      </c>
      <c r="E134" t="s">
        <v>52</v>
      </c>
      <c r="F134" t="s">
        <v>29</v>
      </c>
      <c r="G134">
        <v>55</v>
      </c>
      <c r="H134" t="s">
        <v>22</v>
      </c>
      <c r="I134" t="s">
        <v>23</v>
      </c>
      <c r="J134" s="2">
        <v>499</v>
      </c>
      <c r="K134" t="s">
        <v>40</v>
      </c>
      <c r="L134">
        <v>54</v>
      </c>
      <c r="M134" t="s">
        <v>25</v>
      </c>
      <c r="N134" t="s">
        <v>58</v>
      </c>
      <c r="O134">
        <v>34</v>
      </c>
      <c r="P134" t="s">
        <v>27</v>
      </c>
      <c r="Q134">
        <v>4</v>
      </c>
      <c r="R134" s="2">
        <v>499</v>
      </c>
      <c r="S134" t="str">
        <f t="shared" si="4"/>
        <v>senior viewer</v>
      </c>
      <c r="T134" t="str">
        <f t="shared" si="5"/>
        <v>Binge watcher</v>
      </c>
    </row>
    <row r="135" spans="1:20" x14ac:dyDescent="0.3">
      <c r="A135" t="s">
        <v>194</v>
      </c>
      <c r="B135" s="1">
        <v>45584</v>
      </c>
      <c r="C135">
        <v>2024</v>
      </c>
      <c r="D135" t="s">
        <v>47</v>
      </c>
      <c r="E135" t="s">
        <v>20</v>
      </c>
      <c r="F135" t="s">
        <v>29</v>
      </c>
      <c r="G135">
        <v>39</v>
      </c>
      <c r="H135" t="s">
        <v>36</v>
      </c>
      <c r="I135" t="s">
        <v>48</v>
      </c>
      <c r="J135" s="2">
        <v>649</v>
      </c>
      <c r="K135" t="s">
        <v>75</v>
      </c>
      <c r="L135">
        <v>41</v>
      </c>
      <c r="M135" t="s">
        <v>31</v>
      </c>
      <c r="N135" t="s">
        <v>32</v>
      </c>
      <c r="O135">
        <v>22</v>
      </c>
      <c r="P135" t="s">
        <v>27</v>
      </c>
      <c r="Q135">
        <v>3</v>
      </c>
      <c r="R135" s="2">
        <v>649</v>
      </c>
      <c r="S135" t="str">
        <f t="shared" si="4"/>
        <v>mid career adult</v>
      </c>
      <c r="T135" t="str">
        <f t="shared" si="5"/>
        <v>Engaged Viewer</v>
      </c>
    </row>
    <row r="136" spans="1:20" x14ac:dyDescent="0.3">
      <c r="A136" t="s">
        <v>195</v>
      </c>
      <c r="B136" s="1">
        <v>45347</v>
      </c>
      <c r="C136">
        <v>2024</v>
      </c>
      <c r="D136" t="s">
        <v>111</v>
      </c>
      <c r="E136" t="s">
        <v>52</v>
      </c>
      <c r="F136" t="s">
        <v>21</v>
      </c>
      <c r="G136">
        <v>40</v>
      </c>
      <c r="H136" t="s">
        <v>22</v>
      </c>
      <c r="I136" t="s">
        <v>23</v>
      </c>
      <c r="J136" s="2">
        <v>499</v>
      </c>
      <c r="K136" t="s">
        <v>30</v>
      </c>
      <c r="L136">
        <v>45</v>
      </c>
      <c r="M136" t="s">
        <v>41</v>
      </c>
      <c r="N136" t="s">
        <v>58</v>
      </c>
      <c r="O136">
        <v>11</v>
      </c>
      <c r="P136" t="s">
        <v>27</v>
      </c>
      <c r="Q136">
        <v>4</v>
      </c>
      <c r="R136" s="2">
        <v>499</v>
      </c>
      <c r="S136" t="str">
        <f t="shared" si="4"/>
        <v>mid career adult</v>
      </c>
      <c r="T136" t="str">
        <f t="shared" si="5"/>
        <v>Engaged Viewer</v>
      </c>
    </row>
    <row r="137" spans="1:20" x14ac:dyDescent="0.3">
      <c r="A137" t="s">
        <v>196</v>
      </c>
      <c r="B137" s="1">
        <v>45869</v>
      </c>
      <c r="C137">
        <v>2025</v>
      </c>
      <c r="D137" t="s">
        <v>85</v>
      </c>
      <c r="E137" t="s">
        <v>35</v>
      </c>
      <c r="F137" t="s">
        <v>21</v>
      </c>
      <c r="G137">
        <v>54</v>
      </c>
      <c r="H137" t="s">
        <v>36</v>
      </c>
      <c r="I137" t="s">
        <v>48</v>
      </c>
      <c r="J137" s="2">
        <v>649</v>
      </c>
      <c r="K137" t="s">
        <v>24</v>
      </c>
      <c r="L137">
        <v>27</v>
      </c>
      <c r="M137" t="s">
        <v>45</v>
      </c>
      <c r="N137" t="s">
        <v>26</v>
      </c>
      <c r="O137">
        <v>3</v>
      </c>
      <c r="P137" t="s">
        <v>27</v>
      </c>
      <c r="Q137">
        <v>3</v>
      </c>
      <c r="R137" s="2">
        <v>649</v>
      </c>
      <c r="S137" t="str">
        <f t="shared" si="4"/>
        <v>Mature viewer</v>
      </c>
      <c r="T137" t="str">
        <f t="shared" si="5"/>
        <v>Regular Viewer</v>
      </c>
    </row>
    <row r="138" spans="1:20" x14ac:dyDescent="0.3">
      <c r="A138" t="s">
        <v>197</v>
      </c>
      <c r="B138" s="1">
        <v>45154</v>
      </c>
      <c r="C138">
        <v>2023</v>
      </c>
      <c r="D138" t="s">
        <v>34</v>
      </c>
      <c r="E138" t="s">
        <v>43</v>
      </c>
      <c r="F138" t="s">
        <v>21</v>
      </c>
      <c r="G138">
        <v>42</v>
      </c>
      <c r="H138" t="s">
        <v>22</v>
      </c>
      <c r="I138" t="s">
        <v>37</v>
      </c>
      <c r="J138" s="2">
        <v>199</v>
      </c>
      <c r="K138" t="s">
        <v>40</v>
      </c>
      <c r="L138">
        <v>25</v>
      </c>
      <c r="M138" t="s">
        <v>25</v>
      </c>
      <c r="N138" t="s">
        <v>32</v>
      </c>
      <c r="O138">
        <v>21</v>
      </c>
      <c r="P138" t="s">
        <v>73</v>
      </c>
      <c r="Q138">
        <v>2</v>
      </c>
      <c r="R138" s="2">
        <v>0</v>
      </c>
      <c r="S138" t="str">
        <f t="shared" si="4"/>
        <v>mid career adult</v>
      </c>
      <c r="T138" t="str">
        <f t="shared" si="5"/>
        <v>Regular Viewer</v>
      </c>
    </row>
    <row r="139" spans="1:20" x14ac:dyDescent="0.3">
      <c r="A139" t="s">
        <v>198</v>
      </c>
      <c r="B139" s="1">
        <v>45604</v>
      </c>
      <c r="C139">
        <v>2024</v>
      </c>
      <c r="D139" t="s">
        <v>19</v>
      </c>
      <c r="E139" t="s">
        <v>52</v>
      </c>
      <c r="F139" t="s">
        <v>21</v>
      </c>
      <c r="G139">
        <v>51</v>
      </c>
      <c r="H139" t="s">
        <v>36</v>
      </c>
      <c r="I139" t="s">
        <v>23</v>
      </c>
      <c r="J139" s="2">
        <v>499</v>
      </c>
      <c r="K139" t="s">
        <v>57</v>
      </c>
      <c r="L139">
        <v>54</v>
      </c>
      <c r="M139" t="s">
        <v>45</v>
      </c>
      <c r="N139" t="s">
        <v>32</v>
      </c>
      <c r="O139">
        <v>20</v>
      </c>
      <c r="P139" t="s">
        <v>27</v>
      </c>
      <c r="Q139">
        <v>5</v>
      </c>
      <c r="R139" s="2">
        <v>499</v>
      </c>
      <c r="S139" t="str">
        <f t="shared" si="4"/>
        <v>Mature viewer</v>
      </c>
      <c r="T139" t="str">
        <f t="shared" si="5"/>
        <v>Binge watcher</v>
      </c>
    </row>
    <row r="140" spans="1:20" x14ac:dyDescent="0.3">
      <c r="A140" t="s">
        <v>199</v>
      </c>
      <c r="B140" s="1">
        <v>44860</v>
      </c>
      <c r="C140">
        <v>2022</v>
      </c>
      <c r="D140" t="s">
        <v>47</v>
      </c>
      <c r="E140" t="s">
        <v>43</v>
      </c>
      <c r="F140" t="s">
        <v>63</v>
      </c>
      <c r="G140">
        <v>40</v>
      </c>
      <c r="H140" t="s">
        <v>22</v>
      </c>
      <c r="I140" t="s">
        <v>23</v>
      </c>
      <c r="J140" s="2">
        <v>499</v>
      </c>
      <c r="K140" t="s">
        <v>30</v>
      </c>
      <c r="L140">
        <v>31</v>
      </c>
      <c r="M140" t="s">
        <v>45</v>
      </c>
      <c r="N140" t="s">
        <v>58</v>
      </c>
      <c r="O140">
        <v>14</v>
      </c>
      <c r="P140" t="s">
        <v>27</v>
      </c>
      <c r="Q140">
        <v>3</v>
      </c>
      <c r="R140" s="2">
        <v>499</v>
      </c>
      <c r="S140" t="str">
        <f t="shared" si="4"/>
        <v>mid career adult</v>
      </c>
      <c r="T140" t="str">
        <f t="shared" si="5"/>
        <v>Regular Viewer</v>
      </c>
    </row>
    <row r="141" spans="1:20" x14ac:dyDescent="0.3">
      <c r="A141" t="s">
        <v>200</v>
      </c>
      <c r="B141" s="1">
        <v>44737</v>
      </c>
      <c r="C141">
        <v>2022</v>
      </c>
      <c r="D141" t="s">
        <v>69</v>
      </c>
      <c r="E141" t="s">
        <v>43</v>
      </c>
      <c r="F141" t="s">
        <v>21</v>
      </c>
      <c r="G141">
        <v>50</v>
      </c>
      <c r="H141" t="s">
        <v>22</v>
      </c>
      <c r="I141" t="s">
        <v>48</v>
      </c>
      <c r="J141" s="2">
        <v>649</v>
      </c>
      <c r="K141" t="s">
        <v>24</v>
      </c>
      <c r="L141">
        <v>26</v>
      </c>
      <c r="M141" t="s">
        <v>25</v>
      </c>
      <c r="N141" t="s">
        <v>58</v>
      </c>
      <c r="O141">
        <v>6</v>
      </c>
      <c r="P141" t="s">
        <v>27</v>
      </c>
      <c r="Q141">
        <v>3</v>
      </c>
      <c r="R141" s="2">
        <v>649</v>
      </c>
      <c r="S141" t="str">
        <f t="shared" si="4"/>
        <v>Mature viewer</v>
      </c>
      <c r="T141" t="str">
        <f t="shared" si="5"/>
        <v>Regular Viewer</v>
      </c>
    </row>
    <row r="142" spans="1:20" x14ac:dyDescent="0.3">
      <c r="A142" t="s">
        <v>201</v>
      </c>
      <c r="B142" s="1">
        <v>44681</v>
      </c>
      <c r="C142">
        <v>2022</v>
      </c>
      <c r="D142" t="s">
        <v>51</v>
      </c>
      <c r="E142" t="s">
        <v>43</v>
      </c>
      <c r="F142" t="s">
        <v>21</v>
      </c>
      <c r="G142">
        <v>55</v>
      </c>
      <c r="H142" t="s">
        <v>22</v>
      </c>
      <c r="I142" t="s">
        <v>37</v>
      </c>
      <c r="J142" s="2">
        <v>199</v>
      </c>
      <c r="K142" t="s">
        <v>49</v>
      </c>
      <c r="L142">
        <v>59</v>
      </c>
      <c r="M142" t="s">
        <v>41</v>
      </c>
      <c r="N142" t="s">
        <v>26</v>
      </c>
      <c r="O142">
        <v>31</v>
      </c>
      <c r="P142" t="s">
        <v>27</v>
      </c>
      <c r="Q142">
        <v>3</v>
      </c>
      <c r="R142" s="2">
        <v>199</v>
      </c>
      <c r="S142" t="str">
        <f t="shared" si="4"/>
        <v>senior viewer</v>
      </c>
      <c r="T142" t="str">
        <f t="shared" si="5"/>
        <v>Binge watcher</v>
      </c>
    </row>
    <row r="143" spans="1:20" x14ac:dyDescent="0.3">
      <c r="A143" t="s">
        <v>202</v>
      </c>
      <c r="B143" s="1">
        <v>45946</v>
      </c>
      <c r="C143">
        <v>2025</v>
      </c>
      <c r="D143" t="s">
        <v>47</v>
      </c>
      <c r="E143" t="s">
        <v>43</v>
      </c>
      <c r="F143" t="s">
        <v>29</v>
      </c>
      <c r="G143">
        <v>32</v>
      </c>
      <c r="H143" t="s">
        <v>36</v>
      </c>
      <c r="I143" t="s">
        <v>37</v>
      </c>
      <c r="J143" s="2">
        <v>199</v>
      </c>
      <c r="K143" t="s">
        <v>53</v>
      </c>
      <c r="L143">
        <v>55</v>
      </c>
      <c r="M143" t="s">
        <v>25</v>
      </c>
      <c r="N143" t="s">
        <v>58</v>
      </c>
      <c r="O143">
        <v>17</v>
      </c>
      <c r="P143" t="s">
        <v>27</v>
      </c>
      <c r="Q143">
        <v>5</v>
      </c>
      <c r="R143" s="2">
        <v>199</v>
      </c>
      <c r="S143" t="str">
        <f t="shared" si="4"/>
        <v>Young Professionals</v>
      </c>
      <c r="T143" t="str">
        <f t="shared" si="5"/>
        <v>Binge watcher</v>
      </c>
    </row>
    <row r="144" spans="1:20" x14ac:dyDescent="0.3">
      <c r="A144" t="s">
        <v>203</v>
      </c>
      <c r="B144" s="1">
        <v>44666</v>
      </c>
      <c r="C144">
        <v>2022</v>
      </c>
      <c r="D144" t="s">
        <v>51</v>
      </c>
      <c r="E144" t="s">
        <v>43</v>
      </c>
      <c r="F144" t="s">
        <v>29</v>
      </c>
      <c r="G144">
        <v>55</v>
      </c>
      <c r="H144" t="s">
        <v>36</v>
      </c>
      <c r="I144" t="s">
        <v>48</v>
      </c>
      <c r="J144" s="2">
        <v>649</v>
      </c>
      <c r="K144" t="s">
        <v>67</v>
      </c>
      <c r="L144">
        <v>35</v>
      </c>
      <c r="M144" t="s">
        <v>31</v>
      </c>
      <c r="N144" t="s">
        <v>55</v>
      </c>
      <c r="O144">
        <v>15</v>
      </c>
      <c r="P144" t="s">
        <v>27</v>
      </c>
      <c r="Q144">
        <v>5</v>
      </c>
      <c r="R144" s="2">
        <v>649</v>
      </c>
      <c r="S144" t="str">
        <f t="shared" si="4"/>
        <v>senior viewer</v>
      </c>
      <c r="T144" t="str">
        <f t="shared" si="5"/>
        <v>Regular Viewer</v>
      </c>
    </row>
    <row r="145" spans="1:20" x14ac:dyDescent="0.3">
      <c r="A145" t="s">
        <v>204</v>
      </c>
      <c r="B145" s="1">
        <v>44888</v>
      </c>
      <c r="C145">
        <v>2022</v>
      </c>
      <c r="D145" t="s">
        <v>19</v>
      </c>
      <c r="E145" t="s">
        <v>20</v>
      </c>
      <c r="F145" t="s">
        <v>29</v>
      </c>
      <c r="G145">
        <v>51</v>
      </c>
      <c r="H145" t="s">
        <v>36</v>
      </c>
      <c r="I145" t="s">
        <v>48</v>
      </c>
      <c r="J145" s="2">
        <v>649</v>
      </c>
      <c r="K145" t="s">
        <v>67</v>
      </c>
      <c r="L145">
        <v>40</v>
      </c>
      <c r="M145" t="s">
        <v>45</v>
      </c>
      <c r="N145" t="s">
        <v>26</v>
      </c>
      <c r="O145">
        <v>9</v>
      </c>
      <c r="P145" t="s">
        <v>27</v>
      </c>
      <c r="Q145">
        <v>4</v>
      </c>
      <c r="R145" s="2">
        <v>649</v>
      </c>
      <c r="S145" t="str">
        <f t="shared" si="4"/>
        <v>Mature viewer</v>
      </c>
      <c r="T145" t="str">
        <f t="shared" si="5"/>
        <v>Engaged Viewer</v>
      </c>
    </row>
    <row r="146" spans="1:20" x14ac:dyDescent="0.3">
      <c r="A146" t="s">
        <v>205</v>
      </c>
      <c r="B146" s="1">
        <v>45295</v>
      </c>
      <c r="C146">
        <v>2024</v>
      </c>
      <c r="D146" t="s">
        <v>62</v>
      </c>
      <c r="E146" t="s">
        <v>52</v>
      </c>
      <c r="F146" t="s">
        <v>63</v>
      </c>
      <c r="G146">
        <v>44</v>
      </c>
      <c r="H146" t="s">
        <v>22</v>
      </c>
      <c r="I146" t="s">
        <v>37</v>
      </c>
      <c r="J146" s="2">
        <v>199</v>
      </c>
      <c r="K146" t="s">
        <v>67</v>
      </c>
      <c r="L146">
        <v>40</v>
      </c>
      <c r="M146" t="s">
        <v>45</v>
      </c>
      <c r="N146" t="s">
        <v>55</v>
      </c>
      <c r="O146">
        <v>2</v>
      </c>
      <c r="P146" t="s">
        <v>27</v>
      </c>
      <c r="Q146">
        <v>5</v>
      </c>
      <c r="R146" s="2">
        <v>199</v>
      </c>
      <c r="S146" t="str">
        <f t="shared" si="4"/>
        <v>mid career adult</v>
      </c>
      <c r="T146" t="str">
        <f t="shared" si="5"/>
        <v>Engaged Viewer</v>
      </c>
    </row>
    <row r="147" spans="1:20" x14ac:dyDescent="0.3">
      <c r="A147" t="s">
        <v>206</v>
      </c>
      <c r="B147" s="1">
        <v>45779</v>
      </c>
      <c r="C147">
        <v>2025</v>
      </c>
      <c r="D147" t="s">
        <v>79</v>
      </c>
      <c r="E147" t="s">
        <v>20</v>
      </c>
      <c r="F147" t="s">
        <v>21</v>
      </c>
      <c r="G147">
        <v>46</v>
      </c>
      <c r="H147" t="s">
        <v>22</v>
      </c>
      <c r="I147" t="s">
        <v>37</v>
      </c>
      <c r="J147" s="2">
        <v>199</v>
      </c>
      <c r="K147" t="s">
        <v>49</v>
      </c>
      <c r="L147">
        <v>34</v>
      </c>
      <c r="M147" t="s">
        <v>25</v>
      </c>
      <c r="N147" t="s">
        <v>55</v>
      </c>
      <c r="O147">
        <v>5</v>
      </c>
      <c r="P147" t="s">
        <v>27</v>
      </c>
      <c r="Q147">
        <v>4</v>
      </c>
      <c r="R147" s="2">
        <v>199</v>
      </c>
      <c r="S147" t="str">
        <f t="shared" si="4"/>
        <v>Mature viewer</v>
      </c>
      <c r="T147" t="str">
        <f t="shared" si="5"/>
        <v>Regular Viewer</v>
      </c>
    </row>
    <row r="148" spans="1:20" x14ac:dyDescent="0.3">
      <c r="A148" t="s">
        <v>207</v>
      </c>
      <c r="B148" s="1">
        <v>45451</v>
      </c>
      <c r="C148">
        <v>2024</v>
      </c>
      <c r="D148" t="s">
        <v>69</v>
      </c>
      <c r="E148" t="s">
        <v>43</v>
      </c>
      <c r="F148" t="s">
        <v>21</v>
      </c>
      <c r="G148">
        <v>26</v>
      </c>
      <c r="H148" t="s">
        <v>22</v>
      </c>
      <c r="I148" t="s">
        <v>37</v>
      </c>
      <c r="J148" s="2">
        <v>199</v>
      </c>
      <c r="K148" t="s">
        <v>53</v>
      </c>
      <c r="L148">
        <v>27</v>
      </c>
      <c r="M148" t="s">
        <v>41</v>
      </c>
      <c r="N148" t="s">
        <v>58</v>
      </c>
      <c r="O148">
        <v>16</v>
      </c>
      <c r="P148" t="s">
        <v>27</v>
      </c>
      <c r="Q148">
        <v>5</v>
      </c>
      <c r="R148" s="2">
        <v>199</v>
      </c>
      <c r="S148" t="str">
        <f t="shared" si="4"/>
        <v>Young Professionals</v>
      </c>
      <c r="T148" t="str">
        <f t="shared" si="5"/>
        <v>Regular Viewer</v>
      </c>
    </row>
    <row r="149" spans="1:20" x14ac:dyDescent="0.3">
      <c r="A149" t="s">
        <v>208</v>
      </c>
      <c r="B149" s="1">
        <v>44588</v>
      </c>
      <c r="C149">
        <v>2022</v>
      </c>
      <c r="D149" t="s">
        <v>62</v>
      </c>
      <c r="E149" t="s">
        <v>35</v>
      </c>
      <c r="F149" t="s">
        <v>21</v>
      </c>
      <c r="G149">
        <v>30</v>
      </c>
      <c r="H149" t="s">
        <v>36</v>
      </c>
      <c r="I149" t="s">
        <v>23</v>
      </c>
      <c r="J149" s="2">
        <v>499</v>
      </c>
      <c r="K149" t="s">
        <v>24</v>
      </c>
      <c r="L149">
        <v>48</v>
      </c>
      <c r="M149" t="s">
        <v>25</v>
      </c>
      <c r="N149" t="s">
        <v>26</v>
      </c>
      <c r="O149">
        <v>10</v>
      </c>
      <c r="P149" t="s">
        <v>27</v>
      </c>
      <c r="Q149">
        <v>5</v>
      </c>
      <c r="R149" s="2">
        <v>499</v>
      </c>
      <c r="S149" t="str">
        <f t="shared" si="4"/>
        <v>Young Professionals</v>
      </c>
      <c r="T149" t="str">
        <f t="shared" si="5"/>
        <v>Engaged Viewer</v>
      </c>
    </row>
    <row r="150" spans="1:20" x14ac:dyDescent="0.3">
      <c r="A150" t="s">
        <v>209</v>
      </c>
      <c r="B150" s="1">
        <v>44636</v>
      </c>
      <c r="C150">
        <v>2022</v>
      </c>
      <c r="D150" t="s">
        <v>66</v>
      </c>
      <c r="E150" t="s">
        <v>43</v>
      </c>
      <c r="F150" t="s">
        <v>63</v>
      </c>
      <c r="G150">
        <v>54</v>
      </c>
      <c r="H150" t="s">
        <v>36</v>
      </c>
      <c r="I150" t="s">
        <v>37</v>
      </c>
      <c r="J150" s="2">
        <v>199</v>
      </c>
      <c r="K150" t="s">
        <v>40</v>
      </c>
      <c r="L150">
        <v>44</v>
      </c>
      <c r="M150" t="s">
        <v>41</v>
      </c>
      <c r="N150" t="s">
        <v>32</v>
      </c>
      <c r="O150">
        <v>3</v>
      </c>
      <c r="P150" t="s">
        <v>27</v>
      </c>
      <c r="Q150">
        <v>4</v>
      </c>
      <c r="R150" s="2">
        <v>199</v>
      </c>
      <c r="S150" t="str">
        <f t="shared" si="4"/>
        <v>Mature viewer</v>
      </c>
      <c r="T150" t="str">
        <f t="shared" si="5"/>
        <v>Engaged Viewer</v>
      </c>
    </row>
    <row r="151" spans="1:20" x14ac:dyDescent="0.3">
      <c r="A151" t="s">
        <v>210</v>
      </c>
      <c r="B151" s="1">
        <v>45295</v>
      </c>
      <c r="C151">
        <v>2024</v>
      </c>
      <c r="D151" t="s">
        <v>62</v>
      </c>
      <c r="E151" t="s">
        <v>43</v>
      </c>
      <c r="F151" t="s">
        <v>63</v>
      </c>
      <c r="G151">
        <v>19</v>
      </c>
      <c r="H151" t="s">
        <v>36</v>
      </c>
      <c r="I151" t="s">
        <v>23</v>
      </c>
      <c r="J151" s="2">
        <v>499</v>
      </c>
      <c r="K151" t="s">
        <v>53</v>
      </c>
      <c r="L151">
        <v>33</v>
      </c>
      <c r="M151" t="s">
        <v>41</v>
      </c>
      <c r="N151" t="s">
        <v>32</v>
      </c>
      <c r="O151">
        <v>6</v>
      </c>
      <c r="P151" t="s">
        <v>27</v>
      </c>
      <c r="Q151">
        <v>5</v>
      </c>
      <c r="R151" s="2">
        <v>499</v>
      </c>
      <c r="S151" t="str">
        <f t="shared" si="4"/>
        <v>Genz viewer</v>
      </c>
      <c r="T151" t="str">
        <f t="shared" si="5"/>
        <v>Regular Viewer</v>
      </c>
    </row>
    <row r="152" spans="1:20" x14ac:dyDescent="0.3">
      <c r="A152" t="s">
        <v>211</v>
      </c>
      <c r="B152" s="1">
        <v>45279</v>
      </c>
      <c r="C152">
        <v>2023</v>
      </c>
      <c r="D152" t="s">
        <v>39</v>
      </c>
      <c r="E152" t="s">
        <v>52</v>
      </c>
      <c r="F152" t="s">
        <v>29</v>
      </c>
      <c r="G152">
        <v>47</v>
      </c>
      <c r="H152" t="s">
        <v>22</v>
      </c>
      <c r="I152" t="s">
        <v>48</v>
      </c>
      <c r="J152" s="2">
        <v>649</v>
      </c>
      <c r="K152" t="s">
        <v>24</v>
      </c>
      <c r="L152">
        <v>51</v>
      </c>
      <c r="M152" t="s">
        <v>25</v>
      </c>
      <c r="N152" t="s">
        <v>32</v>
      </c>
      <c r="O152">
        <v>29</v>
      </c>
      <c r="P152" t="s">
        <v>27</v>
      </c>
      <c r="Q152">
        <v>3</v>
      </c>
      <c r="R152" s="2">
        <v>649</v>
      </c>
      <c r="S152" t="str">
        <f t="shared" si="4"/>
        <v>Mature viewer</v>
      </c>
      <c r="T152" t="str">
        <f t="shared" si="5"/>
        <v>Binge watcher</v>
      </c>
    </row>
    <row r="153" spans="1:20" x14ac:dyDescent="0.3">
      <c r="A153" t="s">
        <v>212</v>
      </c>
      <c r="B153" s="1">
        <v>45265</v>
      </c>
      <c r="C153">
        <v>2023</v>
      </c>
      <c r="D153" t="s">
        <v>39</v>
      </c>
      <c r="E153" t="s">
        <v>20</v>
      </c>
      <c r="F153" t="s">
        <v>63</v>
      </c>
      <c r="G153">
        <v>50</v>
      </c>
      <c r="H153" t="s">
        <v>22</v>
      </c>
      <c r="I153" t="s">
        <v>37</v>
      </c>
      <c r="J153" s="2">
        <v>199</v>
      </c>
      <c r="K153" t="s">
        <v>49</v>
      </c>
      <c r="L153">
        <v>34</v>
      </c>
      <c r="M153" t="s">
        <v>25</v>
      </c>
      <c r="N153" t="s">
        <v>58</v>
      </c>
      <c r="O153">
        <v>32</v>
      </c>
      <c r="P153" t="s">
        <v>27</v>
      </c>
      <c r="Q153">
        <v>3</v>
      </c>
      <c r="R153" s="2">
        <v>199</v>
      </c>
      <c r="S153" t="str">
        <f t="shared" si="4"/>
        <v>Mature viewer</v>
      </c>
      <c r="T153" t="str">
        <f t="shared" si="5"/>
        <v>Regular Viewer</v>
      </c>
    </row>
    <row r="154" spans="1:20" x14ac:dyDescent="0.3">
      <c r="A154" t="s">
        <v>213</v>
      </c>
      <c r="B154" s="1">
        <v>45167</v>
      </c>
      <c r="C154">
        <v>2023</v>
      </c>
      <c r="D154" t="s">
        <v>34</v>
      </c>
      <c r="E154" t="s">
        <v>35</v>
      </c>
      <c r="F154" t="s">
        <v>63</v>
      </c>
      <c r="G154">
        <v>35</v>
      </c>
      <c r="H154" t="s">
        <v>36</v>
      </c>
      <c r="I154" t="s">
        <v>48</v>
      </c>
      <c r="J154" s="2">
        <v>649</v>
      </c>
      <c r="K154" t="s">
        <v>40</v>
      </c>
      <c r="L154">
        <v>23</v>
      </c>
      <c r="M154" t="s">
        <v>45</v>
      </c>
      <c r="N154" t="s">
        <v>55</v>
      </c>
      <c r="O154">
        <v>39</v>
      </c>
      <c r="P154" t="s">
        <v>27</v>
      </c>
      <c r="Q154">
        <v>5</v>
      </c>
      <c r="R154" s="2">
        <v>649</v>
      </c>
      <c r="S154" t="str">
        <f t="shared" si="4"/>
        <v>mid career adult</v>
      </c>
      <c r="T154" t="str">
        <f t="shared" si="5"/>
        <v>Regular Viewer</v>
      </c>
    </row>
    <row r="155" spans="1:20" x14ac:dyDescent="0.3">
      <c r="A155" t="s">
        <v>214</v>
      </c>
      <c r="B155" s="1">
        <v>45899</v>
      </c>
      <c r="C155">
        <v>2025</v>
      </c>
      <c r="D155" t="s">
        <v>34</v>
      </c>
      <c r="E155" t="s">
        <v>20</v>
      </c>
      <c r="F155" t="s">
        <v>29</v>
      </c>
      <c r="G155">
        <v>21</v>
      </c>
      <c r="H155" t="s">
        <v>36</v>
      </c>
      <c r="I155" t="s">
        <v>37</v>
      </c>
      <c r="J155" s="2">
        <v>199</v>
      </c>
      <c r="K155" t="s">
        <v>30</v>
      </c>
      <c r="L155">
        <v>22</v>
      </c>
      <c r="M155" t="s">
        <v>25</v>
      </c>
      <c r="N155" t="s">
        <v>55</v>
      </c>
      <c r="O155">
        <v>15</v>
      </c>
      <c r="P155" t="s">
        <v>27</v>
      </c>
      <c r="Q155">
        <v>4</v>
      </c>
      <c r="R155" s="2">
        <v>199</v>
      </c>
      <c r="S155" t="str">
        <f t="shared" si="4"/>
        <v>Genz viewer</v>
      </c>
      <c r="T155" t="str">
        <f t="shared" si="5"/>
        <v>Regular Viewer</v>
      </c>
    </row>
    <row r="156" spans="1:20" x14ac:dyDescent="0.3">
      <c r="A156" t="s">
        <v>215</v>
      </c>
      <c r="B156" s="1">
        <v>45416</v>
      </c>
      <c r="C156">
        <v>2024</v>
      </c>
      <c r="D156" t="s">
        <v>79</v>
      </c>
      <c r="E156" t="s">
        <v>20</v>
      </c>
      <c r="F156" t="s">
        <v>29</v>
      </c>
      <c r="G156">
        <v>52</v>
      </c>
      <c r="H156" t="s">
        <v>22</v>
      </c>
      <c r="I156" t="s">
        <v>37</v>
      </c>
      <c r="J156" s="2">
        <v>199</v>
      </c>
      <c r="K156" t="s">
        <v>44</v>
      </c>
      <c r="L156">
        <v>47</v>
      </c>
      <c r="M156" t="s">
        <v>41</v>
      </c>
      <c r="N156" t="s">
        <v>26</v>
      </c>
      <c r="O156">
        <v>48</v>
      </c>
      <c r="P156" t="s">
        <v>27</v>
      </c>
      <c r="Q156">
        <v>5</v>
      </c>
      <c r="R156" s="2">
        <v>199</v>
      </c>
      <c r="S156" t="str">
        <f t="shared" si="4"/>
        <v>Mature viewer</v>
      </c>
      <c r="T156" t="str">
        <f t="shared" si="5"/>
        <v>Engaged Viewer</v>
      </c>
    </row>
    <row r="157" spans="1:20" x14ac:dyDescent="0.3">
      <c r="A157" t="s">
        <v>216</v>
      </c>
      <c r="B157" s="1">
        <v>44845</v>
      </c>
      <c r="C157">
        <v>2022</v>
      </c>
      <c r="D157" t="s">
        <v>47</v>
      </c>
      <c r="E157" t="s">
        <v>20</v>
      </c>
      <c r="F157" t="s">
        <v>21</v>
      </c>
      <c r="G157">
        <v>30</v>
      </c>
      <c r="H157" t="s">
        <v>36</v>
      </c>
      <c r="I157" t="s">
        <v>37</v>
      </c>
      <c r="J157" s="2">
        <v>199</v>
      </c>
      <c r="K157" t="s">
        <v>30</v>
      </c>
      <c r="L157">
        <v>39</v>
      </c>
      <c r="M157" t="s">
        <v>45</v>
      </c>
      <c r="N157" t="s">
        <v>32</v>
      </c>
      <c r="O157">
        <v>41</v>
      </c>
      <c r="P157" t="s">
        <v>73</v>
      </c>
      <c r="Q157">
        <v>3</v>
      </c>
      <c r="R157" s="2">
        <v>0</v>
      </c>
      <c r="S157" t="str">
        <f t="shared" si="4"/>
        <v>Young Professionals</v>
      </c>
      <c r="T157" t="str">
        <f t="shared" si="5"/>
        <v>Engaged Viewer</v>
      </c>
    </row>
    <row r="158" spans="1:20" x14ac:dyDescent="0.3">
      <c r="A158" t="s">
        <v>217</v>
      </c>
      <c r="B158" s="1">
        <v>45325</v>
      </c>
      <c r="C158">
        <v>2024</v>
      </c>
      <c r="D158" t="s">
        <v>111</v>
      </c>
      <c r="E158" t="s">
        <v>20</v>
      </c>
      <c r="F158" t="s">
        <v>21</v>
      </c>
      <c r="G158">
        <v>20</v>
      </c>
      <c r="H158" t="s">
        <v>22</v>
      </c>
      <c r="I158" t="s">
        <v>37</v>
      </c>
      <c r="J158" s="2">
        <v>199</v>
      </c>
      <c r="K158" t="s">
        <v>67</v>
      </c>
      <c r="L158">
        <v>53</v>
      </c>
      <c r="M158" t="s">
        <v>31</v>
      </c>
      <c r="N158" t="s">
        <v>58</v>
      </c>
      <c r="O158">
        <v>15</v>
      </c>
      <c r="P158" t="s">
        <v>27</v>
      </c>
      <c r="Q158">
        <v>5</v>
      </c>
      <c r="R158" s="2">
        <v>199</v>
      </c>
      <c r="S158" t="str">
        <f t="shared" si="4"/>
        <v>Genz viewer</v>
      </c>
      <c r="T158" t="str">
        <f t="shared" si="5"/>
        <v>Binge watcher</v>
      </c>
    </row>
    <row r="159" spans="1:20" x14ac:dyDescent="0.3">
      <c r="A159" t="s">
        <v>218</v>
      </c>
      <c r="B159" s="1">
        <v>45752</v>
      </c>
      <c r="C159">
        <v>2025</v>
      </c>
      <c r="D159" t="s">
        <v>51</v>
      </c>
      <c r="E159" t="s">
        <v>52</v>
      </c>
      <c r="F159" t="s">
        <v>21</v>
      </c>
      <c r="G159">
        <v>37</v>
      </c>
      <c r="H159" t="s">
        <v>36</v>
      </c>
      <c r="I159" t="s">
        <v>37</v>
      </c>
      <c r="J159" s="2">
        <v>199</v>
      </c>
      <c r="K159" t="s">
        <v>75</v>
      </c>
      <c r="L159">
        <v>55</v>
      </c>
      <c r="M159" t="s">
        <v>31</v>
      </c>
      <c r="N159" t="s">
        <v>58</v>
      </c>
      <c r="O159">
        <v>40</v>
      </c>
      <c r="P159" t="s">
        <v>27</v>
      </c>
      <c r="Q159">
        <v>5</v>
      </c>
      <c r="R159" s="2">
        <v>199</v>
      </c>
      <c r="S159" t="str">
        <f t="shared" si="4"/>
        <v>mid career adult</v>
      </c>
      <c r="T159" t="str">
        <f t="shared" si="5"/>
        <v>Binge watcher</v>
      </c>
    </row>
    <row r="160" spans="1:20" x14ac:dyDescent="0.3">
      <c r="A160" t="s">
        <v>219</v>
      </c>
      <c r="B160" s="1">
        <v>45209</v>
      </c>
      <c r="C160">
        <v>2023</v>
      </c>
      <c r="D160" t="s">
        <v>47</v>
      </c>
      <c r="E160" t="s">
        <v>52</v>
      </c>
      <c r="F160" t="s">
        <v>21</v>
      </c>
      <c r="G160">
        <v>33</v>
      </c>
      <c r="H160" t="s">
        <v>36</v>
      </c>
      <c r="I160" t="s">
        <v>37</v>
      </c>
      <c r="J160" s="2">
        <v>199</v>
      </c>
      <c r="K160" t="s">
        <v>44</v>
      </c>
      <c r="L160">
        <v>30</v>
      </c>
      <c r="M160" t="s">
        <v>45</v>
      </c>
      <c r="N160" t="s">
        <v>55</v>
      </c>
      <c r="O160">
        <v>14</v>
      </c>
      <c r="P160" t="s">
        <v>27</v>
      </c>
      <c r="Q160">
        <v>5</v>
      </c>
      <c r="R160" s="2">
        <v>199</v>
      </c>
      <c r="S160" t="str">
        <f t="shared" si="4"/>
        <v>Young Professionals</v>
      </c>
      <c r="T160" t="str">
        <f t="shared" si="5"/>
        <v>Regular Viewer</v>
      </c>
    </row>
    <row r="161" spans="1:20" x14ac:dyDescent="0.3">
      <c r="A161" t="s">
        <v>220</v>
      </c>
      <c r="B161" s="1">
        <v>45034</v>
      </c>
      <c r="C161">
        <v>2023</v>
      </c>
      <c r="D161" t="s">
        <v>51</v>
      </c>
      <c r="E161" t="s">
        <v>43</v>
      </c>
      <c r="F161" t="s">
        <v>29</v>
      </c>
      <c r="G161">
        <v>19</v>
      </c>
      <c r="H161" t="s">
        <v>36</v>
      </c>
      <c r="I161" t="s">
        <v>23</v>
      </c>
      <c r="J161" s="2">
        <v>499</v>
      </c>
      <c r="K161" t="s">
        <v>44</v>
      </c>
      <c r="L161">
        <v>31</v>
      </c>
      <c r="M161" t="s">
        <v>45</v>
      </c>
      <c r="N161" t="s">
        <v>32</v>
      </c>
      <c r="O161">
        <v>4</v>
      </c>
      <c r="P161" t="s">
        <v>27</v>
      </c>
      <c r="Q161">
        <v>5</v>
      </c>
      <c r="R161" s="2">
        <v>499</v>
      </c>
      <c r="S161" t="str">
        <f t="shared" si="4"/>
        <v>Genz viewer</v>
      </c>
      <c r="T161" t="str">
        <f t="shared" si="5"/>
        <v>Regular Viewer</v>
      </c>
    </row>
    <row r="162" spans="1:20" x14ac:dyDescent="0.3">
      <c r="A162" t="s">
        <v>221</v>
      </c>
      <c r="B162" s="1">
        <v>44853</v>
      </c>
      <c r="C162">
        <v>2022</v>
      </c>
      <c r="D162" t="s">
        <v>47</v>
      </c>
      <c r="E162" t="s">
        <v>43</v>
      </c>
      <c r="F162" t="s">
        <v>63</v>
      </c>
      <c r="G162">
        <v>30</v>
      </c>
      <c r="H162" t="s">
        <v>36</v>
      </c>
      <c r="I162" t="s">
        <v>48</v>
      </c>
      <c r="J162" s="2">
        <v>649</v>
      </c>
      <c r="K162" t="s">
        <v>24</v>
      </c>
      <c r="L162">
        <v>24</v>
      </c>
      <c r="M162" t="s">
        <v>25</v>
      </c>
      <c r="N162" t="s">
        <v>58</v>
      </c>
      <c r="O162">
        <v>10</v>
      </c>
      <c r="P162" t="s">
        <v>27</v>
      </c>
      <c r="Q162">
        <v>4</v>
      </c>
      <c r="R162" s="2">
        <v>649</v>
      </c>
      <c r="S162" t="str">
        <f t="shared" si="4"/>
        <v>Young Professionals</v>
      </c>
      <c r="T162" t="str">
        <f t="shared" si="5"/>
        <v>Regular Viewer</v>
      </c>
    </row>
    <row r="163" spans="1:20" x14ac:dyDescent="0.3">
      <c r="A163" t="s">
        <v>222</v>
      </c>
      <c r="B163" s="1">
        <v>45016</v>
      </c>
      <c r="C163">
        <v>2023</v>
      </c>
      <c r="D163" t="s">
        <v>66</v>
      </c>
      <c r="E163" t="s">
        <v>43</v>
      </c>
      <c r="F163" t="s">
        <v>63</v>
      </c>
      <c r="G163">
        <v>44</v>
      </c>
      <c r="H163" t="s">
        <v>22</v>
      </c>
      <c r="I163" t="s">
        <v>37</v>
      </c>
      <c r="J163" s="2">
        <v>199</v>
      </c>
      <c r="K163" t="s">
        <v>53</v>
      </c>
      <c r="L163">
        <v>56</v>
      </c>
      <c r="M163" t="s">
        <v>41</v>
      </c>
      <c r="N163" t="s">
        <v>58</v>
      </c>
      <c r="O163">
        <v>3</v>
      </c>
      <c r="P163" t="s">
        <v>27</v>
      </c>
      <c r="Q163">
        <v>5</v>
      </c>
      <c r="R163" s="2">
        <v>199</v>
      </c>
      <c r="S163" t="str">
        <f t="shared" si="4"/>
        <v>mid career adult</v>
      </c>
      <c r="T163" t="str">
        <f t="shared" si="5"/>
        <v>Binge watcher</v>
      </c>
    </row>
    <row r="164" spans="1:20" x14ac:dyDescent="0.3">
      <c r="A164" t="s">
        <v>223</v>
      </c>
      <c r="B164" s="1">
        <v>45911</v>
      </c>
      <c r="C164">
        <v>2025</v>
      </c>
      <c r="D164" t="s">
        <v>60</v>
      </c>
      <c r="E164" t="s">
        <v>52</v>
      </c>
      <c r="F164" t="s">
        <v>21</v>
      </c>
      <c r="G164">
        <v>22</v>
      </c>
      <c r="H164" t="s">
        <v>22</v>
      </c>
      <c r="I164" t="s">
        <v>23</v>
      </c>
      <c r="J164" s="2">
        <v>499</v>
      </c>
      <c r="K164" t="s">
        <v>24</v>
      </c>
      <c r="L164">
        <v>51</v>
      </c>
      <c r="M164" t="s">
        <v>31</v>
      </c>
      <c r="N164" t="s">
        <v>32</v>
      </c>
      <c r="O164">
        <v>9</v>
      </c>
      <c r="P164" t="s">
        <v>27</v>
      </c>
      <c r="Q164">
        <v>3</v>
      </c>
      <c r="R164" s="2">
        <v>499</v>
      </c>
      <c r="S164" t="str">
        <f t="shared" si="4"/>
        <v>Genz viewer</v>
      </c>
      <c r="T164" t="str">
        <f t="shared" si="5"/>
        <v>Binge watcher</v>
      </c>
    </row>
    <row r="165" spans="1:20" x14ac:dyDescent="0.3">
      <c r="A165" t="s">
        <v>224</v>
      </c>
      <c r="B165" s="1">
        <v>44665</v>
      </c>
      <c r="C165">
        <v>2022</v>
      </c>
      <c r="D165" t="s">
        <v>51</v>
      </c>
      <c r="E165" t="s">
        <v>35</v>
      </c>
      <c r="F165" t="s">
        <v>63</v>
      </c>
      <c r="G165">
        <v>31</v>
      </c>
      <c r="H165" t="s">
        <v>22</v>
      </c>
      <c r="I165" t="s">
        <v>23</v>
      </c>
      <c r="J165" s="2">
        <v>499</v>
      </c>
      <c r="K165" t="s">
        <v>57</v>
      </c>
      <c r="L165">
        <v>43</v>
      </c>
      <c r="M165" t="s">
        <v>41</v>
      </c>
      <c r="N165" t="s">
        <v>26</v>
      </c>
      <c r="O165">
        <v>2</v>
      </c>
      <c r="P165" t="s">
        <v>27</v>
      </c>
      <c r="Q165">
        <v>3</v>
      </c>
      <c r="R165" s="2">
        <v>499</v>
      </c>
      <c r="S165" t="str">
        <f t="shared" si="4"/>
        <v>Young Professionals</v>
      </c>
      <c r="T165" t="str">
        <f t="shared" si="5"/>
        <v>Engaged Viewer</v>
      </c>
    </row>
    <row r="166" spans="1:20" x14ac:dyDescent="0.3">
      <c r="A166" t="s">
        <v>225</v>
      </c>
      <c r="B166" s="1">
        <v>45891</v>
      </c>
      <c r="C166">
        <v>2025</v>
      </c>
      <c r="D166" t="s">
        <v>34</v>
      </c>
      <c r="E166" t="s">
        <v>52</v>
      </c>
      <c r="F166" t="s">
        <v>21</v>
      </c>
      <c r="G166">
        <v>32</v>
      </c>
      <c r="H166" t="s">
        <v>22</v>
      </c>
      <c r="I166" t="s">
        <v>37</v>
      </c>
      <c r="J166" s="2">
        <v>199</v>
      </c>
      <c r="K166" t="s">
        <v>57</v>
      </c>
      <c r="L166">
        <v>44</v>
      </c>
      <c r="M166" t="s">
        <v>31</v>
      </c>
      <c r="N166" t="s">
        <v>58</v>
      </c>
      <c r="O166">
        <v>31</v>
      </c>
      <c r="P166" t="s">
        <v>27</v>
      </c>
      <c r="Q166">
        <v>3</v>
      </c>
      <c r="R166" s="2">
        <v>199</v>
      </c>
      <c r="S166" t="str">
        <f t="shared" si="4"/>
        <v>Young Professionals</v>
      </c>
      <c r="T166" t="str">
        <f t="shared" si="5"/>
        <v>Engaged Viewer</v>
      </c>
    </row>
    <row r="167" spans="1:20" x14ac:dyDescent="0.3">
      <c r="A167" t="s">
        <v>226</v>
      </c>
      <c r="B167" s="1">
        <v>45070</v>
      </c>
      <c r="C167">
        <v>2023</v>
      </c>
      <c r="D167" t="s">
        <v>79</v>
      </c>
      <c r="E167" t="s">
        <v>52</v>
      </c>
      <c r="F167" t="s">
        <v>63</v>
      </c>
      <c r="G167">
        <v>29</v>
      </c>
      <c r="H167" t="s">
        <v>36</v>
      </c>
      <c r="I167" t="s">
        <v>23</v>
      </c>
      <c r="J167" s="2">
        <v>499</v>
      </c>
      <c r="K167" t="s">
        <v>53</v>
      </c>
      <c r="L167">
        <v>31</v>
      </c>
      <c r="M167" t="s">
        <v>25</v>
      </c>
      <c r="N167" t="s">
        <v>26</v>
      </c>
      <c r="O167">
        <v>20</v>
      </c>
      <c r="P167" t="s">
        <v>73</v>
      </c>
      <c r="Q167">
        <v>5</v>
      </c>
      <c r="R167" s="2">
        <v>0</v>
      </c>
      <c r="S167" t="str">
        <f t="shared" si="4"/>
        <v>Young Professionals</v>
      </c>
      <c r="T167" t="str">
        <f t="shared" si="5"/>
        <v>Regular Viewer</v>
      </c>
    </row>
    <row r="168" spans="1:20" x14ac:dyDescent="0.3">
      <c r="A168" t="s">
        <v>227</v>
      </c>
      <c r="B168" s="1">
        <v>45798</v>
      </c>
      <c r="C168">
        <v>2025</v>
      </c>
      <c r="D168" t="s">
        <v>79</v>
      </c>
      <c r="E168" t="s">
        <v>20</v>
      </c>
      <c r="F168" t="s">
        <v>63</v>
      </c>
      <c r="G168">
        <v>42</v>
      </c>
      <c r="H168" t="s">
        <v>22</v>
      </c>
      <c r="I168" t="s">
        <v>48</v>
      </c>
      <c r="J168" s="2">
        <v>649</v>
      </c>
      <c r="K168" t="s">
        <v>44</v>
      </c>
      <c r="L168">
        <v>45</v>
      </c>
      <c r="M168" t="s">
        <v>31</v>
      </c>
      <c r="N168" t="s">
        <v>32</v>
      </c>
      <c r="O168">
        <v>23</v>
      </c>
      <c r="P168" t="s">
        <v>27</v>
      </c>
      <c r="Q168">
        <v>5</v>
      </c>
      <c r="R168" s="2">
        <v>649</v>
      </c>
      <c r="S168" t="str">
        <f t="shared" si="4"/>
        <v>mid career adult</v>
      </c>
      <c r="T168" t="str">
        <f t="shared" si="5"/>
        <v>Engaged Viewer</v>
      </c>
    </row>
    <row r="169" spans="1:20" x14ac:dyDescent="0.3">
      <c r="A169" t="s">
        <v>228</v>
      </c>
      <c r="B169" s="1">
        <v>45176</v>
      </c>
      <c r="C169">
        <v>2023</v>
      </c>
      <c r="D169" t="s">
        <v>60</v>
      </c>
      <c r="E169" t="s">
        <v>35</v>
      </c>
      <c r="F169" t="s">
        <v>29</v>
      </c>
      <c r="G169">
        <v>45</v>
      </c>
      <c r="H169" t="s">
        <v>36</v>
      </c>
      <c r="I169" t="s">
        <v>48</v>
      </c>
      <c r="J169" s="2">
        <v>649</v>
      </c>
      <c r="K169" t="s">
        <v>40</v>
      </c>
      <c r="L169">
        <v>35</v>
      </c>
      <c r="M169" t="s">
        <v>31</v>
      </c>
      <c r="N169" t="s">
        <v>32</v>
      </c>
      <c r="O169">
        <v>1</v>
      </c>
      <c r="P169" t="s">
        <v>27</v>
      </c>
      <c r="Q169">
        <v>3</v>
      </c>
      <c r="R169" s="2">
        <v>649</v>
      </c>
      <c r="S169" t="str">
        <f t="shared" si="4"/>
        <v>Mature viewer</v>
      </c>
      <c r="T169" t="str">
        <f t="shared" si="5"/>
        <v>Regular Viewer</v>
      </c>
    </row>
    <row r="170" spans="1:20" x14ac:dyDescent="0.3">
      <c r="A170" t="s">
        <v>229</v>
      </c>
      <c r="B170" s="1">
        <v>44840</v>
      </c>
      <c r="C170">
        <v>2022</v>
      </c>
      <c r="D170" t="s">
        <v>47</v>
      </c>
      <c r="E170" t="s">
        <v>52</v>
      </c>
      <c r="F170" t="s">
        <v>63</v>
      </c>
      <c r="G170">
        <v>44</v>
      </c>
      <c r="H170" t="s">
        <v>22</v>
      </c>
      <c r="I170" t="s">
        <v>37</v>
      </c>
      <c r="J170" s="2">
        <v>199</v>
      </c>
      <c r="K170" t="s">
        <v>53</v>
      </c>
      <c r="L170">
        <v>23</v>
      </c>
      <c r="M170" t="s">
        <v>25</v>
      </c>
      <c r="N170" t="s">
        <v>26</v>
      </c>
      <c r="O170">
        <v>23</v>
      </c>
      <c r="P170" t="s">
        <v>27</v>
      </c>
      <c r="Q170">
        <v>5</v>
      </c>
      <c r="R170" s="2">
        <v>199</v>
      </c>
      <c r="S170" t="str">
        <f t="shared" si="4"/>
        <v>mid career adult</v>
      </c>
      <c r="T170" t="str">
        <f t="shared" si="5"/>
        <v>Regular Viewer</v>
      </c>
    </row>
    <row r="171" spans="1:20" x14ac:dyDescent="0.3">
      <c r="A171" t="s">
        <v>230</v>
      </c>
      <c r="B171" s="1">
        <v>45551</v>
      </c>
      <c r="C171">
        <v>2024</v>
      </c>
      <c r="D171" t="s">
        <v>60</v>
      </c>
      <c r="E171" t="s">
        <v>20</v>
      </c>
      <c r="F171" t="s">
        <v>29</v>
      </c>
      <c r="G171">
        <v>55</v>
      </c>
      <c r="H171" t="s">
        <v>22</v>
      </c>
      <c r="I171" t="s">
        <v>37</v>
      </c>
      <c r="J171" s="2">
        <v>199</v>
      </c>
      <c r="K171" t="s">
        <v>44</v>
      </c>
      <c r="L171">
        <v>53</v>
      </c>
      <c r="M171" t="s">
        <v>41</v>
      </c>
      <c r="N171" t="s">
        <v>55</v>
      </c>
      <c r="O171">
        <v>30</v>
      </c>
      <c r="P171" t="s">
        <v>27</v>
      </c>
      <c r="Q171">
        <v>4</v>
      </c>
      <c r="R171" s="2">
        <v>199</v>
      </c>
      <c r="S171" t="str">
        <f t="shared" si="4"/>
        <v>senior viewer</v>
      </c>
      <c r="T171" t="str">
        <f t="shared" si="5"/>
        <v>Binge watcher</v>
      </c>
    </row>
    <row r="172" spans="1:20" x14ac:dyDescent="0.3">
      <c r="A172" t="s">
        <v>231</v>
      </c>
      <c r="B172" s="1">
        <v>45296</v>
      </c>
      <c r="C172">
        <v>2024</v>
      </c>
      <c r="D172" t="s">
        <v>62</v>
      </c>
      <c r="E172" t="s">
        <v>43</v>
      </c>
      <c r="F172" t="s">
        <v>29</v>
      </c>
      <c r="G172">
        <v>42</v>
      </c>
      <c r="H172" t="s">
        <v>36</v>
      </c>
      <c r="I172" t="s">
        <v>48</v>
      </c>
      <c r="J172" s="2">
        <v>649</v>
      </c>
      <c r="K172" t="s">
        <v>40</v>
      </c>
      <c r="L172">
        <v>59</v>
      </c>
      <c r="M172" t="s">
        <v>45</v>
      </c>
      <c r="N172" t="s">
        <v>58</v>
      </c>
      <c r="O172">
        <v>6</v>
      </c>
      <c r="P172" t="s">
        <v>27</v>
      </c>
      <c r="Q172">
        <v>4</v>
      </c>
      <c r="R172" s="2">
        <v>649</v>
      </c>
      <c r="S172" t="str">
        <f t="shared" si="4"/>
        <v>mid career adult</v>
      </c>
      <c r="T172" t="str">
        <f t="shared" si="5"/>
        <v>Binge watcher</v>
      </c>
    </row>
    <row r="173" spans="1:20" x14ac:dyDescent="0.3">
      <c r="A173" t="s">
        <v>232</v>
      </c>
      <c r="B173" s="1">
        <v>45046</v>
      </c>
      <c r="C173">
        <v>2023</v>
      </c>
      <c r="D173" t="s">
        <v>51</v>
      </c>
      <c r="E173" t="s">
        <v>52</v>
      </c>
      <c r="F173" t="s">
        <v>63</v>
      </c>
      <c r="G173">
        <v>21</v>
      </c>
      <c r="H173" t="s">
        <v>22</v>
      </c>
      <c r="I173" t="s">
        <v>23</v>
      </c>
      <c r="J173" s="2">
        <v>499</v>
      </c>
      <c r="K173" t="s">
        <v>24</v>
      </c>
      <c r="L173">
        <v>25</v>
      </c>
      <c r="M173" t="s">
        <v>41</v>
      </c>
      <c r="N173" t="s">
        <v>32</v>
      </c>
      <c r="O173">
        <v>13</v>
      </c>
      <c r="P173" t="s">
        <v>27</v>
      </c>
      <c r="Q173">
        <v>3</v>
      </c>
      <c r="R173" s="2">
        <v>499</v>
      </c>
      <c r="S173" t="str">
        <f t="shared" si="4"/>
        <v>Genz viewer</v>
      </c>
      <c r="T173" t="str">
        <f t="shared" si="5"/>
        <v>Regular Viewer</v>
      </c>
    </row>
    <row r="174" spans="1:20" x14ac:dyDescent="0.3">
      <c r="A174" t="s">
        <v>233</v>
      </c>
      <c r="B174" s="1">
        <v>45853</v>
      </c>
      <c r="C174">
        <v>2025</v>
      </c>
      <c r="D174" t="s">
        <v>85</v>
      </c>
      <c r="E174" t="s">
        <v>52</v>
      </c>
      <c r="F174" t="s">
        <v>63</v>
      </c>
      <c r="G174">
        <v>27</v>
      </c>
      <c r="H174" t="s">
        <v>22</v>
      </c>
      <c r="I174" t="s">
        <v>23</v>
      </c>
      <c r="J174" s="2">
        <v>499</v>
      </c>
      <c r="K174" t="s">
        <v>53</v>
      </c>
      <c r="L174">
        <v>46</v>
      </c>
      <c r="M174" t="s">
        <v>45</v>
      </c>
      <c r="N174" t="s">
        <v>32</v>
      </c>
      <c r="O174">
        <v>43</v>
      </c>
      <c r="P174" t="s">
        <v>27</v>
      </c>
      <c r="Q174">
        <v>3</v>
      </c>
      <c r="R174" s="2">
        <v>499</v>
      </c>
      <c r="S174" t="str">
        <f t="shared" si="4"/>
        <v>Young Professionals</v>
      </c>
      <c r="T174" t="str">
        <f t="shared" si="5"/>
        <v>Engaged Viewer</v>
      </c>
    </row>
    <row r="175" spans="1:20" x14ac:dyDescent="0.3">
      <c r="A175" t="s">
        <v>234</v>
      </c>
      <c r="B175" s="1">
        <v>45615</v>
      </c>
      <c r="C175">
        <v>2024</v>
      </c>
      <c r="D175" t="s">
        <v>19</v>
      </c>
      <c r="E175" t="s">
        <v>20</v>
      </c>
      <c r="F175" t="s">
        <v>63</v>
      </c>
      <c r="G175">
        <v>43</v>
      </c>
      <c r="H175" t="s">
        <v>22</v>
      </c>
      <c r="I175" t="s">
        <v>48</v>
      </c>
      <c r="J175" s="2">
        <v>649</v>
      </c>
      <c r="K175" t="s">
        <v>30</v>
      </c>
      <c r="L175">
        <v>47</v>
      </c>
      <c r="M175" t="s">
        <v>41</v>
      </c>
      <c r="N175" t="s">
        <v>58</v>
      </c>
      <c r="O175">
        <v>10</v>
      </c>
      <c r="P175" t="s">
        <v>27</v>
      </c>
      <c r="Q175">
        <v>5</v>
      </c>
      <c r="R175" s="2">
        <v>649</v>
      </c>
      <c r="S175" t="str">
        <f t="shared" si="4"/>
        <v>mid career adult</v>
      </c>
      <c r="T175" t="str">
        <f t="shared" si="5"/>
        <v>Engaged Viewer</v>
      </c>
    </row>
    <row r="176" spans="1:20" x14ac:dyDescent="0.3">
      <c r="A176" t="s">
        <v>235</v>
      </c>
      <c r="B176" s="1">
        <v>44888</v>
      </c>
      <c r="C176">
        <v>2022</v>
      </c>
      <c r="D176" t="s">
        <v>19</v>
      </c>
      <c r="E176" t="s">
        <v>35</v>
      </c>
      <c r="F176" t="s">
        <v>21</v>
      </c>
      <c r="G176">
        <v>28</v>
      </c>
      <c r="H176" t="s">
        <v>36</v>
      </c>
      <c r="I176" t="s">
        <v>23</v>
      </c>
      <c r="J176" s="2">
        <v>499</v>
      </c>
      <c r="K176" t="s">
        <v>49</v>
      </c>
      <c r="L176">
        <v>29</v>
      </c>
      <c r="M176" t="s">
        <v>31</v>
      </c>
      <c r="N176" t="s">
        <v>32</v>
      </c>
      <c r="O176">
        <v>34</v>
      </c>
      <c r="P176" t="s">
        <v>27</v>
      </c>
      <c r="Q176">
        <v>5</v>
      </c>
      <c r="R176" s="2">
        <v>499</v>
      </c>
      <c r="S176" t="str">
        <f t="shared" si="4"/>
        <v>Young Professionals</v>
      </c>
      <c r="T176" t="str">
        <f t="shared" si="5"/>
        <v>Regular Viewer</v>
      </c>
    </row>
    <row r="177" spans="1:20" x14ac:dyDescent="0.3">
      <c r="A177" t="s">
        <v>236</v>
      </c>
      <c r="B177" s="1">
        <v>45074</v>
      </c>
      <c r="C177">
        <v>2023</v>
      </c>
      <c r="D177" t="s">
        <v>79</v>
      </c>
      <c r="E177" t="s">
        <v>52</v>
      </c>
      <c r="F177" t="s">
        <v>29</v>
      </c>
      <c r="G177">
        <v>55</v>
      </c>
      <c r="H177" t="s">
        <v>22</v>
      </c>
      <c r="I177" t="s">
        <v>48</v>
      </c>
      <c r="J177" s="2">
        <v>649</v>
      </c>
      <c r="K177" t="s">
        <v>24</v>
      </c>
      <c r="L177">
        <v>26</v>
      </c>
      <c r="M177" t="s">
        <v>31</v>
      </c>
      <c r="N177" t="s">
        <v>58</v>
      </c>
      <c r="O177">
        <v>30</v>
      </c>
      <c r="P177" t="s">
        <v>27</v>
      </c>
      <c r="Q177">
        <v>3</v>
      </c>
      <c r="R177" s="2">
        <v>649</v>
      </c>
      <c r="S177" t="str">
        <f t="shared" si="4"/>
        <v>senior viewer</v>
      </c>
      <c r="T177" t="str">
        <f t="shared" si="5"/>
        <v>Regular Viewer</v>
      </c>
    </row>
    <row r="178" spans="1:20" x14ac:dyDescent="0.3">
      <c r="A178" t="s">
        <v>237</v>
      </c>
      <c r="B178" s="1">
        <v>45735</v>
      </c>
      <c r="C178">
        <v>2025</v>
      </c>
      <c r="D178" t="s">
        <v>66</v>
      </c>
      <c r="E178" t="s">
        <v>20</v>
      </c>
      <c r="F178" t="s">
        <v>21</v>
      </c>
      <c r="G178">
        <v>22</v>
      </c>
      <c r="H178" t="s">
        <v>22</v>
      </c>
      <c r="I178" t="s">
        <v>23</v>
      </c>
      <c r="J178" s="2">
        <v>499</v>
      </c>
      <c r="K178" t="s">
        <v>40</v>
      </c>
      <c r="L178">
        <v>29</v>
      </c>
      <c r="M178" t="s">
        <v>45</v>
      </c>
      <c r="N178" t="s">
        <v>26</v>
      </c>
      <c r="O178">
        <v>23</v>
      </c>
      <c r="P178" t="s">
        <v>27</v>
      </c>
      <c r="Q178">
        <v>4</v>
      </c>
      <c r="R178" s="2">
        <v>499</v>
      </c>
      <c r="S178" t="str">
        <f t="shared" si="4"/>
        <v>Genz viewer</v>
      </c>
      <c r="T178" t="str">
        <f t="shared" si="5"/>
        <v>Regular Viewer</v>
      </c>
    </row>
    <row r="179" spans="1:20" x14ac:dyDescent="0.3">
      <c r="A179" t="s">
        <v>238</v>
      </c>
      <c r="B179" s="1">
        <v>45949</v>
      </c>
      <c r="C179">
        <v>2025</v>
      </c>
      <c r="D179" t="s">
        <v>47</v>
      </c>
      <c r="E179" t="s">
        <v>52</v>
      </c>
      <c r="F179" t="s">
        <v>29</v>
      </c>
      <c r="G179">
        <v>27</v>
      </c>
      <c r="H179" t="s">
        <v>22</v>
      </c>
      <c r="I179" t="s">
        <v>48</v>
      </c>
      <c r="J179" s="2">
        <v>649</v>
      </c>
      <c r="K179" t="s">
        <v>53</v>
      </c>
      <c r="L179">
        <v>26</v>
      </c>
      <c r="M179" t="s">
        <v>25</v>
      </c>
      <c r="N179" t="s">
        <v>55</v>
      </c>
      <c r="O179">
        <v>46</v>
      </c>
      <c r="P179" t="s">
        <v>27</v>
      </c>
      <c r="Q179">
        <v>3</v>
      </c>
      <c r="R179" s="2">
        <v>649</v>
      </c>
      <c r="S179" t="str">
        <f t="shared" si="4"/>
        <v>Young Professionals</v>
      </c>
      <c r="T179" t="str">
        <f t="shared" si="5"/>
        <v>Regular Viewer</v>
      </c>
    </row>
    <row r="180" spans="1:20" x14ac:dyDescent="0.3">
      <c r="A180" t="s">
        <v>239</v>
      </c>
      <c r="B180" s="1">
        <v>44979</v>
      </c>
      <c r="C180">
        <v>2023</v>
      </c>
      <c r="D180" t="s">
        <v>111</v>
      </c>
      <c r="E180" t="s">
        <v>52</v>
      </c>
      <c r="F180" t="s">
        <v>63</v>
      </c>
      <c r="G180">
        <v>42</v>
      </c>
      <c r="H180" t="s">
        <v>22</v>
      </c>
      <c r="I180" t="s">
        <v>48</v>
      </c>
      <c r="J180" s="2">
        <v>649</v>
      </c>
      <c r="K180" t="s">
        <v>24</v>
      </c>
      <c r="L180">
        <v>39</v>
      </c>
      <c r="M180" t="s">
        <v>45</v>
      </c>
      <c r="N180" t="s">
        <v>26</v>
      </c>
      <c r="O180">
        <v>37</v>
      </c>
      <c r="P180" t="s">
        <v>27</v>
      </c>
      <c r="Q180">
        <v>5</v>
      </c>
      <c r="R180" s="2">
        <v>649</v>
      </c>
      <c r="S180" t="str">
        <f t="shared" si="4"/>
        <v>mid career adult</v>
      </c>
      <c r="T180" t="str">
        <f t="shared" si="5"/>
        <v>Engaged Viewer</v>
      </c>
    </row>
    <row r="181" spans="1:20" x14ac:dyDescent="0.3">
      <c r="A181" t="s">
        <v>240</v>
      </c>
      <c r="B181" s="1">
        <v>45050</v>
      </c>
      <c r="C181">
        <v>2023</v>
      </c>
      <c r="D181" t="s">
        <v>79</v>
      </c>
      <c r="E181" t="s">
        <v>52</v>
      </c>
      <c r="F181" t="s">
        <v>21</v>
      </c>
      <c r="G181">
        <v>28</v>
      </c>
      <c r="H181" t="s">
        <v>36</v>
      </c>
      <c r="I181" t="s">
        <v>48</v>
      </c>
      <c r="J181" s="2">
        <v>649</v>
      </c>
      <c r="K181" t="s">
        <v>30</v>
      </c>
      <c r="L181">
        <v>52</v>
      </c>
      <c r="M181" t="s">
        <v>25</v>
      </c>
      <c r="N181" t="s">
        <v>32</v>
      </c>
      <c r="O181">
        <v>35</v>
      </c>
      <c r="P181" t="s">
        <v>27</v>
      </c>
      <c r="Q181">
        <v>3</v>
      </c>
      <c r="R181" s="2">
        <v>649</v>
      </c>
      <c r="S181" t="str">
        <f t="shared" si="4"/>
        <v>Young Professionals</v>
      </c>
      <c r="T181" t="str">
        <f t="shared" si="5"/>
        <v>Binge watcher</v>
      </c>
    </row>
    <row r="182" spans="1:20" x14ac:dyDescent="0.3">
      <c r="A182" t="s">
        <v>241</v>
      </c>
      <c r="B182" s="1">
        <v>45520</v>
      </c>
      <c r="C182">
        <v>2024</v>
      </c>
      <c r="D182" t="s">
        <v>34</v>
      </c>
      <c r="E182" t="s">
        <v>20</v>
      </c>
      <c r="F182" t="s">
        <v>21</v>
      </c>
      <c r="G182">
        <v>30</v>
      </c>
      <c r="H182" t="s">
        <v>36</v>
      </c>
      <c r="I182" t="s">
        <v>48</v>
      </c>
      <c r="J182" s="2">
        <v>649</v>
      </c>
      <c r="K182" t="s">
        <v>53</v>
      </c>
      <c r="L182">
        <v>25</v>
      </c>
      <c r="M182" t="s">
        <v>45</v>
      </c>
      <c r="N182" t="s">
        <v>32</v>
      </c>
      <c r="O182">
        <v>37</v>
      </c>
      <c r="P182" t="s">
        <v>27</v>
      </c>
      <c r="Q182">
        <v>3</v>
      </c>
      <c r="R182" s="2">
        <v>649</v>
      </c>
      <c r="S182" t="str">
        <f t="shared" si="4"/>
        <v>Young Professionals</v>
      </c>
      <c r="T182" t="str">
        <f t="shared" si="5"/>
        <v>Regular Viewer</v>
      </c>
    </row>
    <row r="183" spans="1:20" x14ac:dyDescent="0.3">
      <c r="A183" t="s">
        <v>242</v>
      </c>
      <c r="B183" s="1">
        <v>45958</v>
      </c>
      <c r="C183">
        <v>2025</v>
      </c>
      <c r="D183" t="s">
        <v>47</v>
      </c>
      <c r="E183" t="s">
        <v>43</v>
      </c>
      <c r="F183" t="s">
        <v>63</v>
      </c>
      <c r="G183">
        <v>22</v>
      </c>
      <c r="H183" t="s">
        <v>22</v>
      </c>
      <c r="I183" t="s">
        <v>37</v>
      </c>
      <c r="J183" s="2">
        <v>199</v>
      </c>
      <c r="K183" t="s">
        <v>30</v>
      </c>
      <c r="L183">
        <v>28</v>
      </c>
      <c r="M183" t="s">
        <v>31</v>
      </c>
      <c r="N183" t="s">
        <v>55</v>
      </c>
      <c r="O183">
        <v>17</v>
      </c>
      <c r="P183" t="s">
        <v>27</v>
      </c>
      <c r="Q183">
        <v>4</v>
      </c>
      <c r="R183" s="2">
        <v>199</v>
      </c>
      <c r="S183" t="str">
        <f t="shared" si="4"/>
        <v>Genz viewer</v>
      </c>
      <c r="T183" t="str">
        <f t="shared" si="5"/>
        <v>Regular Viewer</v>
      </c>
    </row>
    <row r="184" spans="1:20" x14ac:dyDescent="0.3">
      <c r="A184" t="s">
        <v>243</v>
      </c>
      <c r="B184" s="1">
        <v>45453</v>
      </c>
      <c r="C184">
        <v>2024</v>
      </c>
      <c r="D184" t="s">
        <v>69</v>
      </c>
      <c r="E184" t="s">
        <v>35</v>
      </c>
      <c r="F184" t="s">
        <v>21</v>
      </c>
      <c r="G184">
        <v>42</v>
      </c>
      <c r="H184" t="s">
        <v>36</v>
      </c>
      <c r="I184" t="s">
        <v>37</v>
      </c>
      <c r="J184" s="2">
        <v>199</v>
      </c>
      <c r="K184" t="s">
        <v>67</v>
      </c>
      <c r="L184">
        <v>55</v>
      </c>
      <c r="M184" t="s">
        <v>25</v>
      </c>
      <c r="N184" t="s">
        <v>58</v>
      </c>
      <c r="O184">
        <v>39</v>
      </c>
      <c r="P184" t="s">
        <v>27</v>
      </c>
      <c r="Q184">
        <v>4</v>
      </c>
      <c r="R184" s="2">
        <v>199</v>
      </c>
      <c r="S184" t="str">
        <f t="shared" si="4"/>
        <v>mid career adult</v>
      </c>
      <c r="T184" t="str">
        <f t="shared" si="5"/>
        <v>Binge watcher</v>
      </c>
    </row>
    <row r="185" spans="1:20" x14ac:dyDescent="0.3">
      <c r="A185" t="s">
        <v>244</v>
      </c>
      <c r="B185" s="1">
        <v>45024</v>
      </c>
      <c r="C185">
        <v>2023</v>
      </c>
      <c r="D185" t="s">
        <v>51</v>
      </c>
      <c r="E185" t="s">
        <v>35</v>
      </c>
      <c r="F185" t="s">
        <v>63</v>
      </c>
      <c r="G185">
        <v>46</v>
      </c>
      <c r="H185" t="s">
        <v>36</v>
      </c>
      <c r="I185" t="s">
        <v>48</v>
      </c>
      <c r="J185" s="2">
        <v>649</v>
      </c>
      <c r="K185" t="s">
        <v>44</v>
      </c>
      <c r="L185">
        <v>55</v>
      </c>
      <c r="M185" t="s">
        <v>25</v>
      </c>
      <c r="N185" t="s">
        <v>55</v>
      </c>
      <c r="O185">
        <v>43</v>
      </c>
      <c r="P185" t="s">
        <v>27</v>
      </c>
      <c r="Q185">
        <v>3</v>
      </c>
      <c r="R185" s="2">
        <v>649</v>
      </c>
      <c r="S185" t="str">
        <f t="shared" si="4"/>
        <v>Mature viewer</v>
      </c>
      <c r="T185" t="str">
        <f t="shared" si="5"/>
        <v>Binge watcher</v>
      </c>
    </row>
    <row r="186" spans="1:20" x14ac:dyDescent="0.3">
      <c r="A186" t="s">
        <v>245</v>
      </c>
      <c r="B186" s="1">
        <v>45279</v>
      </c>
      <c r="C186">
        <v>2023</v>
      </c>
      <c r="D186" t="s">
        <v>39</v>
      </c>
      <c r="E186" t="s">
        <v>52</v>
      </c>
      <c r="F186" t="s">
        <v>63</v>
      </c>
      <c r="G186">
        <v>26</v>
      </c>
      <c r="H186" t="s">
        <v>22</v>
      </c>
      <c r="I186" t="s">
        <v>48</v>
      </c>
      <c r="J186" s="2">
        <v>649</v>
      </c>
      <c r="K186" t="s">
        <v>24</v>
      </c>
      <c r="L186">
        <v>46</v>
      </c>
      <c r="M186" t="s">
        <v>25</v>
      </c>
      <c r="N186" t="s">
        <v>55</v>
      </c>
      <c r="O186">
        <v>27</v>
      </c>
      <c r="P186" t="s">
        <v>27</v>
      </c>
      <c r="Q186">
        <v>5</v>
      </c>
      <c r="R186" s="2">
        <v>649</v>
      </c>
      <c r="S186" t="str">
        <f t="shared" si="4"/>
        <v>Young Professionals</v>
      </c>
      <c r="T186" t="str">
        <f t="shared" si="5"/>
        <v>Engaged Viewer</v>
      </c>
    </row>
    <row r="187" spans="1:20" x14ac:dyDescent="0.3">
      <c r="A187" t="s">
        <v>246</v>
      </c>
      <c r="B187" s="1">
        <v>45617</v>
      </c>
      <c r="C187">
        <v>2024</v>
      </c>
      <c r="D187" t="s">
        <v>19</v>
      </c>
      <c r="E187" t="s">
        <v>43</v>
      </c>
      <c r="F187" t="s">
        <v>63</v>
      </c>
      <c r="G187">
        <v>30</v>
      </c>
      <c r="H187" t="s">
        <v>22</v>
      </c>
      <c r="I187" t="s">
        <v>23</v>
      </c>
      <c r="J187" s="2">
        <v>499</v>
      </c>
      <c r="K187" t="s">
        <v>40</v>
      </c>
      <c r="L187">
        <v>43</v>
      </c>
      <c r="M187" t="s">
        <v>45</v>
      </c>
      <c r="N187" t="s">
        <v>26</v>
      </c>
      <c r="O187">
        <v>5</v>
      </c>
      <c r="P187" t="s">
        <v>73</v>
      </c>
      <c r="Q187">
        <v>4</v>
      </c>
      <c r="R187" s="2">
        <v>0</v>
      </c>
      <c r="S187" t="str">
        <f t="shared" si="4"/>
        <v>Young Professionals</v>
      </c>
      <c r="T187" t="str">
        <f t="shared" si="5"/>
        <v>Engaged Viewer</v>
      </c>
    </row>
    <row r="188" spans="1:20" x14ac:dyDescent="0.3">
      <c r="A188" t="s">
        <v>247</v>
      </c>
      <c r="B188" s="1">
        <v>44964</v>
      </c>
      <c r="C188">
        <v>2023</v>
      </c>
      <c r="D188" t="s">
        <v>111</v>
      </c>
      <c r="E188" t="s">
        <v>52</v>
      </c>
      <c r="F188" t="s">
        <v>63</v>
      </c>
      <c r="G188">
        <v>30</v>
      </c>
      <c r="H188" t="s">
        <v>22</v>
      </c>
      <c r="I188" t="s">
        <v>23</v>
      </c>
      <c r="J188" s="2">
        <v>499</v>
      </c>
      <c r="K188" t="s">
        <v>44</v>
      </c>
      <c r="L188">
        <v>51</v>
      </c>
      <c r="M188" t="s">
        <v>25</v>
      </c>
      <c r="N188" t="s">
        <v>32</v>
      </c>
      <c r="O188">
        <v>12</v>
      </c>
      <c r="P188" t="s">
        <v>27</v>
      </c>
      <c r="Q188">
        <v>3</v>
      </c>
      <c r="R188" s="2">
        <v>499</v>
      </c>
      <c r="S188" t="str">
        <f t="shared" si="4"/>
        <v>Young Professionals</v>
      </c>
      <c r="T188" t="str">
        <f t="shared" si="5"/>
        <v>Binge watcher</v>
      </c>
    </row>
    <row r="189" spans="1:20" x14ac:dyDescent="0.3">
      <c r="A189" t="s">
        <v>248</v>
      </c>
      <c r="B189" s="1">
        <v>44676</v>
      </c>
      <c r="C189">
        <v>2022</v>
      </c>
      <c r="D189" t="s">
        <v>51</v>
      </c>
      <c r="E189" t="s">
        <v>43</v>
      </c>
      <c r="F189" t="s">
        <v>63</v>
      </c>
      <c r="G189">
        <v>39</v>
      </c>
      <c r="H189" t="s">
        <v>22</v>
      </c>
      <c r="I189" t="s">
        <v>37</v>
      </c>
      <c r="J189" s="2">
        <v>199</v>
      </c>
      <c r="K189" t="s">
        <v>57</v>
      </c>
      <c r="L189">
        <v>21</v>
      </c>
      <c r="M189" t="s">
        <v>45</v>
      </c>
      <c r="N189" t="s">
        <v>58</v>
      </c>
      <c r="O189">
        <v>25</v>
      </c>
      <c r="P189" t="s">
        <v>27</v>
      </c>
      <c r="Q189">
        <v>4</v>
      </c>
      <c r="R189" s="2">
        <v>199</v>
      </c>
      <c r="S189" t="str">
        <f t="shared" si="4"/>
        <v>mid career adult</v>
      </c>
      <c r="T189" t="str">
        <f t="shared" si="5"/>
        <v>Regular Viewer</v>
      </c>
    </row>
    <row r="190" spans="1:20" x14ac:dyDescent="0.3">
      <c r="A190" t="s">
        <v>249</v>
      </c>
      <c r="B190" s="1">
        <v>45867</v>
      </c>
      <c r="C190">
        <v>2025</v>
      </c>
      <c r="D190" t="s">
        <v>85</v>
      </c>
      <c r="E190" t="s">
        <v>20</v>
      </c>
      <c r="F190" t="s">
        <v>21</v>
      </c>
      <c r="G190">
        <v>54</v>
      </c>
      <c r="H190" t="s">
        <v>36</v>
      </c>
      <c r="I190" t="s">
        <v>37</v>
      </c>
      <c r="J190" s="2">
        <v>199</v>
      </c>
      <c r="K190" t="s">
        <v>30</v>
      </c>
      <c r="L190">
        <v>22</v>
      </c>
      <c r="M190" t="s">
        <v>31</v>
      </c>
      <c r="N190" t="s">
        <v>32</v>
      </c>
      <c r="O190">
        <v>2</v>
      </c>
      <c r="P190" t="s">
        <v>27</v>
      </c>
      <c r="Q190">
        <v>4</v>
      </c>
      <c r="R190" s="2">
        <v>199</v>
      </c>
      <c r="S190" t="str">
        <f t="shared" si="4"/>
        <v>Mature viewer</v>
      </c>
      <c r="T190" t="str">
        <f t="shared" si="5"/>
        <v>Regular Viewer</v>
      </c>
    </row>
    <row r="191" spans="1:20" x14ac:dyDescent="0.3">
      <c r="A191" t="s">
        <v>250</v>
      </c>
      <c r="B191" s="1">
        <v>44995</v>
      </c>
      <c r="C191">
        <v>2023</v>
      </c>
      <c r="D191" t="s">
        <v>66</v>
      </c>
      <c r="E191" t="s">
        <v>43</v>
      </c>
      <c r="F191" t="s">
        <v>21</v>
      </c>
      <c r="G191">
        <v>43</v>
      </c>
      <c r="H191" t="s">
        <v>36</v>
      </c>
      <c r="I191" t="s">
        <v>37</v>
      </c>
      <c r="J191" s="2">
        <v>199</v>
      </c>
      <c r="K191" t="s">
        <v>40</v>
      </c>
      <c r="L191">
        <v>49</v>
      </c>
      <c r="M191" t="s">
        <v>45</v>
      </c>
      <c r="N191" t="s">
        <v>55</v>
      </c>
      <c r="O191">
        <v>8</v>
      </c>
      <c r="P191" t="s">
        <v>27</v>
      </c>
      <c r="Q191">
        <v>3</v>
      </c>
      <c r="R191" s="2">
        <v>199</v>
      </c>
      <c r="S191" t="str">
        <f t="shared" si="4"/>
        <v>mid career adult</v>
      </c>
      <c r="T191" t="str">
        <f t="shared" si="5"/>
        <v>Engaged Viewer</v>
      </c>
    </row>
    <row r="192" spans="1:20" x14ac:dyDescent="0.3">
      <c r="A192" t="s">
        <v>251</v>
      </c>
      <c r="B192" s="1">
        <v>45565</v>
      </c>
      <c r="C192">
        <v>2024</v>
      </c>
      <c r="D192" t="s">
        <v>60</v>
      </c>
      <c r="E192" t="s">
        <v>20</v>
      </c>
      <c r="F192" t="s">
        <v>21</v>
      </c>
      <c r="G192">
        <v>26</v>
      </c>
      <c r="H192" t="s">
        <v>36</v>
      </c>
      <c r="I192" t="s">
        <v>23</v>
      </c>
      <c r="J192" s="2">
        <v>499</v>
      </c>
      <c r="K192" t="s">
        <v>67</v>
      </c>
      <c r="L192">
        <v>58</v>
      </c>
      <c r="M192" t="s">
        <v>25</v>
      </c>
      <c r="N192" t="s">
        <v>55</v>
      </c>
      <c r="O192">
        <v>8</v>
      </c>
      <c r="P192" t="s">
        <v>27</v>
      </c>
      <c r="Q192">
        <v>3</v>
      </c>
      <c r="R192" s="2">
        <v>499</v>
      </c>
      <c r="S192" t="str">
        <f t="shared" si="4"/>
        <v>Young Professionals</v>
      </c>
      <c r="T192" t="str">
        <f t="shared" si="5"/>
        <v>Binge watcher</v>
      </c>
    </row>
    <row r="193" spans="1:20" x14ac:dyDescent="0.3">
      <c r="A193" t="s">
        <v>252</v>
      </c>
      <c r="B193" s="1">
        <v>44593</v>
      </c>
      <c r="C193">
        <v>2022</v>
      </c>
      <c r="D193" t="s">
        <v>111</v>
      </c>
      <c r="E193" t="s">
        <v>52</v>
      </c>
      <c r="F193" t="s">
        <v>21</v>
      </c>
      <c r="G193">
        <v>30</v>
      </c>
      <c r="H193" t="s">
        <v>36</v>
      </c>
      <c r="I193" t="s">
        <v>48</v>
      </c>
      <c r="J193" s="2">
        <v>649</v>
      </c>
      <c r="K193" t="s">
        <v>24</v>
      </c>
      <c r="L193">
        <v>34</v>
      </c>
      <c r="M193" t="s">
        <v>45</v>
      </c>
      <c r="N193" t="s">
        <v>58</v>
      </c>
      <c r="O193">
        <v>24</v>
      </c>
      <c r="P193" t="s">
        <v>27</v>
      </c>
      <c r="Q193">
        <v>4</v>
      </c>
      <c r="R193" s="2">
        <v>649</v>
      </c>
      <c r="S193" t="str">
        <f t="shared" si="4"/>
        <v>Young Professionals</v>
      </c>
      <c r="T193" t="str">
        <f t="shared" si="5"/>
        <v>Regular Viewer</v>
      </c>
    </row>
    <row r="194" spans="1:20" x14ac:dyDescent="0.3">
      <c r="A194" t="s">
        <v>253</v>
      </c>
      <c r="B194" s="1">
        <v>45038</v>
      </c>
      <c r="C194">
        <v>2023</v>
      </c>
      <c r="D194" t="s">
        <v>51</v>
      </c>
      <c r="E194" t="s">
        <v>35</v>
      </c>
      <c r="F194" t="s">
        <v>63</v>
      </c>
      <c r="G194">
        <v>33</v>
      </c>
      <c r="H194" t="s">
        <v>22</v>
      </c>
      <c r="I194" t="s">
        <v>48</v>
      </c>
      <c r="J194" s="2">
        <v>649</v>
      </c>
      <c r="K194" t="s">
        <v>44</v>
      </c>
      <c r="L194">
        <v>39</v>
      </c>
      <c r="M194" t="s">
        <v>31</v>
      </c>
      <c r="N194" t="s">
        <v>55</v>
      </c>
      <c r="O194">
        <v>23</v>
      </c>
      <c r="P194" t="s">
        <v>27</v>
      </c>
      <c r="Q194">
        <v>4</v>
      </c>
      <c r="R194" s="2">
        <v>649</v>
      </c>
      <c r="S194" t="str">
        <f t="shared" si="4"/>
        <v>Young Professionals</v>
      </c>
      <c r="T194" t="str">
        <f t="shared" si="5"/>
        <v>Engaged Viewer</v>
      </c>
    </row>
    <row r="195" spans="1:20" x14ac:dyDescent="0.3">
      <c r="A195" t="s">
        <v>254</v>
      </c>
      <c r="B195" s="1">
        <v>44915</v>
      </c>
      <c r="C195">
        <v>2022</v>
      </c>
      <c r="D195" t="s">
        <v>39</v>
      </c>
      <c r="E195" t="s">
        <v>43</v>
      </c>
      <c r="F195" t="s">
        <v>29</v>
      </c>
      <c r="G195">
        <v>34</v>
      </c>
      <c r="H195" t="s">
        <v>22</v>
      </c>
      <c r="I195" t="s">
        <v>37</v>
      </c>
      <c r="J195" s="2">
        <v>199</v>
      </c>
      <c r="K195" t="s">
        <v>49</v>
      </c>
      <c r="L195">
        <v>33</v>
      </c>
      <c r="M195" t="s">
        <v>25</v>
      </c>
      <c r="N195" t="s">
        <v>26</v>
      </c>
      <c r="O195">
        <v>31</v>
      </c>
      <c r="P195" t="s">
        <v>27</v>
      </c>
      <c r="Q195">
        <v>3</v>
      </c>
      <c r="R195" s="2">
        <v>199</v>
      </c>
      <c r="S195" t="str">
        <f t="shared" ref="S195:S258" si="6">IF(G195&lt;=24,"Genz viewer",IF(G195&lt;=34,"Young Professionals",IF(G195&lt;=44,"mid career adult",IF(G195&lt;=54,"Mature viewer","senior viewer"))))</f>
        <v>Young Professionals</v>
      </c>
      <c r="T195" t="str">
        <f t="shared" ref="T195:T258" si="7">IF(L195&lt;=20,"Casual Viewer",IF(L195&lt;=35,"Regular Viewer", IF(L195&lt;=50,"Engaged Viewer","Binge watcher")))</f>
        <v>Regular Viewer</v>
      </c>
    </row>
    <row r="196" spans="1:20" x14ac:dyDescent="0.3">
      <c r="A196" t="s">
        <v>255</v>
      </c>
      <c r="B196" s="1">
        <v>45000</v>
      </c>
      <c r="C196">
        <v>2023</v>
      </c>
      <c r="D196" t="s">
        <v>66</v>
      </c>
      <c r="E196" t="s">
        <v>35</v>
      </c>
      <c r="F196" t="s">
        <v>63</v>
      </c>
      <c r="G196">
        <v>25</v>
      </c>
      <c r="H196" t="s">
        <v>22</v>
      </c>
      <c r="I196" t="s">
        <v>37</v>
      </c>
      <c r="J196" s="2">
        <v>199</v>
      </c>
      <c r="K196" t="s">
        <v>44</v>
      </c>
      <c r="L196">
        <v>48</v>
      </c>
      <c r="M196" t="s">
        <v>45</v>
      </c>
      <c r="N196" t="s">
        <v>26</v>
      </c>
      <c r="O196">
        <v>36</v>
      </c>
      <c r="P196" t="s">
        <v>27</v>
      </c>
      <c r="Q196">
        <v>5</v>
      </c>
      <c r="R196" s="2">
        <v>199</v>
      </c>
      <c r="S196" t="str">
        <f t="shared" si="6"/>
        <v>Young Professionals</v>
      </c>
      <c r="T196" t="str">
        <f t="shared" si="7"/>
        <v>Engaged Viewer</v>
      </c>
    </row>
    <row r="197" spans="1:20" x14ac:dyDescent="0.3">
      <c r="A197" t="s">
        <v>256</v>
      </c>
      <c r="B197" s="1">
        <v>45067</v>
      </c>
      <c r="C197">
        <v>2023</v>
      </c>
      <c r="D197" t="s">
        <v>79</v>
      </c>
      <c r="E197" t="s">
        <v>43</v>
      </c>
      <c r="F197" t="s">
        <v>29</v>
      </c>
      <c r="G197">
        <v>42</v>
      </c>
      <c r="H197" t="s">
        <v>36</v>
      </c>
      <c r="I197" t="s">
        <v>37</v>
      </c>
      <c r="J197" s="2">
        <v>199</v>
      </c>
      <c r="K197" t="s">
        <v>30</v>
      </c>
      <c r="L197">
        <v>22</v>
      </c>
      <c r="M197" t="s">
        <v>25</v>
      </c>
      <c r="N197" t="s">
        <v>26</v>
      </c>
      <c r="O197">
        <v>11</v>
      </c>
      <c r="P197" t="s">
        <v>27</v>
      </c>
      <c r="Q197">
        <v>5</v>
      </c>
      <c r="R197" s="2">
        <v>199</v>
      </c>
      <c r="S197" t="str">
        <f t="shared" si="6"/>
        <v>mid career adult</v>
      </c>
      <c r="T197" t="str">
        <f t="shared" si="7"/>
        <v>Regular Viewer</v>
      </c>
    </row>
    <row r="198" spans="1:20" x14ac:dyDescent="0.3">
      <c r="A198" t="s">
        <v>257</v>
      </c>
      <c r="B198" s="1">
        <v>45070</v>
      </c>
      <c r="C198">
        <v>2023</v>
      </c>
      <c r="D198" t="s">
        <v>79</v>
      </c>
      <c r="E198" t="s">
        <v>20</v>
      </c>
      <c r="F198" t="s">
        <v>63</v>
      </c>
      <c r="G198">
        <v>24</v>
      </c>
      <c r="H198" t="s">
        <v>36</v>
      </c>
      <c r="I198" t="s">
        <v>37</v>
      </c>
      <c r="J198" s="2">
        <v>199</v>
      </c>
      <c r="K198" t="s">
        <v>44</v>
      </c>
      <c r="L198">
        <v>35</v>
      </c>
      <c r="M198" t="s">
        <v>31</v>
      </c>
      <c r="N198" t="s">
        <v>26</v>
      </c>
      <c r="O198">
        <v>45</v>
      </c>
      <c r="P198" t="s">
        <v>27</v>
      </c>
      <c r="Q198">
        <v>5</v>
      </c>
      <c r="R198" s="2">
        <v>199</v>
      </c>
      <c r="S198" t="str">
        <f t="shared" si="6"/>
        <v>Genz viewer</v>
      </c>
      <c r="T198" t="str">
        <f t="shared" si="7"/>
        <v>Regular Viewer</v>
      </c>
    </row>
    <row r="199" spans="1:20" x14ac:dyDescent="0.3">
      <c r="A199" t="s">
        <v>258</v>
      </c>
      <c r="B199" s="1">
        <v>45862</v>
      </c>
      <c r="C199">
        <v>2025</v>
      </c>
      <c r="D199" t="s">
        <v>85</v>
      </c>
      <c r="E199" t="s">
        <v>52</v>
      </c>
      <c r="F199" t="s">
        <v>21</v>
      </c>
      <c r="G199">
        <v>33</v>
      </c>
      <c r="H199" t="s">
        <v>22</v>
      </c>
      <c r="I199" t="s">
        <v>23</v>
      </c>
      <c r="J199" s="2">
        <v>499</v>
      </c>
      <c r="K199" t="s">
        <v>53</v>
      </c>
      <c r="L199">
        <v>37</v>
      </c>
      <c r="M199" t="s">
        <v>45</v>
      </c>
      <c r="N199" t="s">
        <v>26</v>
      </c>
      <c r="O199">
        <v>15</v>
      </c>
      <c r="P199" t="s">
        <v>27</v>
      </c>
      <c r="Q199">
        <v>5</v>
      </c>
      <c r="R199" s="2">
        <v>499</v>
      </c>
      <c r="S199" t="str">
        <f t="shared" si="6"/>
        <v>Young Professionals</v>
      </c>
      <c r="T199" t="str">
        <f t="shared" si="7"/>
        <v>Engaged Viewer</v>
      </c>
    </row>
    <row r="200" spans="1:20" x14ac:dyDescent="0.3">
      <c r="A200" t="s">
        <v>259</v>
      </c>
      <c r="B200" s="1">
        <v>45858</v>
      </c>
      <c r="C200">
        <v>2025</v>
      </c>
      <c r="D200" t="s">
        <v>85</v>
      </c>
      <c r="E200" t="s">
        <v>43</v>
      </c>
      <c r="F200" t="s">
        <v>21</v>
      </c>
      <c r="G200">
        <v>49</v>
      </c>
      <c r="H200" t="s">
        <v>22</v>
      </c>
      <c r="I200" t="s">
        <v>23</v>
      </c>
      <c r="J200" s="2">
        <v>499</v>
      </c>
      <c r="K200" t="s">
        <v>44</v>
      </c>
      <c r="L200">
        <v>56</v>
      </c>
      <c r="M200" t="s">
        <v>25</v>
      </c>
      <c r="N200" t="s">
        <v>26</v>
      </c>
      <c r="O200">
        <v>27</v>
      </c>
      <c r="P200" t="s">
        <v>27</v>
      </c>
      <c r="Q200">
        <v>5</v>
      </c>
      <c r="R200" s="2">
        <v>499</v>
      </c>
      <c r="S200" t="str">
        <f t="shared" si="6"/>
        <v>Mature viewer</v>
      </c>
      <c r="T200" t="str">
        <f t="shared" si="7"/>
        <v>Binge watcher</v>
      </c>
    </row>
    <row r="201" spans="1:20" x14ac:dyDescent="0.3">
      <c r="A201" t="s">
        <v>260</v>
      </c>
      <c r="B201" s="1">
        <v>45343</v>
      </c>
      <c r="C201">
        <v>2024</v>
      </c>
      <c r="D201" t="s">
        <v>111</v>
      </c>
      <c r="E201" t="s">
        <v>35</v>
      </c>
      <c r="F201" t="s">
        <v>63</v>
      </c>
      <c r="G201">
        <v>49</v>
      </c>
      <c r="H201" t="s">
        <v>36</v>
      </c>
      <c r="I201" t="s">
        <v>37</v>
      </c>
      <c r="J201" s="2">
        <v>199</v>
      </c>
      <c r="K201" t="s">
        <v>49</v>
      </c>
      <c r="L201">
        <v>49</v>
      </c>
      <c r="M201" t="s">
        <v>31</v>
      </c>
      <c r="N201" t="s">
        <v>55</v>
      </c>
      <c r="O201">
        <v>14</v>
      </c>
      <c r="P201" t="s">
        <v>27</v>
      </c>
      <c r="Q201">
        <v>3</v>
      </c>
      <c r="R201" s="2">
        <v>199</v>
      </c>
      <c r="S201" t="str">
        <f t="shared" si="6"/>
        <v>Mature viewer</v>
      </c>
      <c r="T201" t="str">
        <f t="shared" si="7"/>
        <v>Engaged Viewer</v>
      </c>
    </row>
    <row r="202" spans="1:20" x14ac:dyDescent="0.3">
      <c r="A202" t="s">
        <v>261</v>
      </c>
      <c r="B202" s="1">
        <v>45860</v>
      </c>
      <c r="C202">
        <v>2025</v>
      </c>
      <c r="D202" t="s">
        <v>85</v>
      </c>
      <c r="E202" t="s">
        <v>20</v>
      </c>
      <c r="F202" t="s">
        <v>29</v>
      </c>
      <c r="G202">
        <v>33</v>
      </c>
      <c r="H202" t="s">
        <v>22</v>
      </c>
      <c r="I202" t="s">
        <v>37</v>
      </c>
      <c r="J202" s="2">
        <v>199</v>
      </c>
      <c r="K202" t="s">
        <v>24</v>
      </c>
      <c r="L202">
        <v>51</v>
      </c>
      <c r="M202" t="s">
        <v>25</v>
      </c>
      <c r="N202" t="s">
        <v>58</v>
      </c>
      <c r="O202">
        <v>10</v>
      </c>
      <c r="P202" t="s">
        <v>27</v>
      </c>
      <c r="Q202">
        <v>5</v>
      </c>
      <c r="R202" s="2">
        <v>199</v>
      </c>
      <c r="S202" t="str">
        <f t="shared" si="6"/>
        <v>Young Professionals</v>
      </c>
      <c r="T202" t="str">
        <f t="shared" si="7"/>
        <v>Binge watcher</v>
      </c>
    </row>
    <row r="203" spans="1:20" x14ac:dyDescent="0.3">
      <c r="A203" t="s">
        <v>262</v>
      </c>
      <c r="B203" s="1">
        <v>45703</v>
      </c>
      <c r="C203">
        <v>2025</v>
      </c>
      <c r="D203" t="s">
        <v>111</v>
      </c>
      <c r="E203" t="s">
        <v>52</v>
      </c>
      <c r="F203" t="s">
        <v>63</v>
      </c>
      <c r="G203">
        <v>43</v>
      </c>
      <c r="H203" t="s">
        <v>36</v>
      </c>
      <c r="I203" t="s">
        <v>37</v>
      </c>
      <c r="J203" s="2">
        <v>199</v>
      </c>
      <c r="K203" t="s">
        <v>49</v>
      </c>
      <c r="L203">
        <v>50</v>
      </c>
      <c r="M203" t="s">
        <v>41</v>
      </c>
      <c r="N203" t="s">
        <v>58</v>
      </c>
      <c r="O203">
        <v>8</v>
      </c>
      <c r="P203" t="s">
        <v>27</v>
      </c>
      <c r="Q203">
        <v>3</v>
      </c>
      <c r="R203" s="2">
        <v>199</v>
      </c>
      <c r="S203" t="str">
        <f t="shared" si="6"/>
        <v>mid career adult</v>
      </c>
      <c r="T203" t="str">
        <f t="shared" si="7"/>
        <v>Engaged Viewer</v>
      </c>
    </row>
    <row r="204" spans="1:20" x14ac:dyDescent="0.3">
      <c r="A204" t="s">
        <v>263</v>
      </c>
      <c r="B204" s="1">
        <v>45383</v>
      </c>
      <c r="C204">
        <v>2024</v>
      </c>
      <c r="D204" t="s">
        <v>51</v>
      </c>
      <c r="E204" t="s">
        <v>35</v>
      </c>
      <c r="F204" t="s">
        <v>63</v>
      </c>
      <c r="G204">
        <v>30</v>
      </c>
      <c r="H204" t="s">
        <v>22</v>
      </c>
      <c r="I204" t="s">
        <v>23</v>
      </c>
      <c r="J204" s="2">
        <v>499</v>
      </c>
      <c r="K204" t="s">
        <v>53</v>
      </c>
      <c r="L204">
        <v>51</v>
      </c>
      <c r="M204" t="s">
        <v>45</v>
      </c>
      <c r="N204" t="s">
        <v>32</v>
      </c>
      <c r="O204">
        <v>4</v>
      </c>
      <c r="P204" t="s">
        <v>27</v>
      </c>
      <c r="Q204">
        <v>3</v>
      </c>
      <c r="R204" s="2">
        <v>499</v>
      </c>
      <c r="S204" t="str">
        <f t="shared" si="6"/>
        <v>Young Professionals</v>
      </c>
      <c r="T204" t="str">
        <f t="shared" si="7"/>
        <v>Binge watcher</v>
      </c>
    </row>
    <row r="205" spans="1:20" x14ac:dyDescent="0.3">
      <c r="A205" t="s">
        <v>264</v>
      </c>
      <c r="B205" s="1">
        <v>45859</v>
      </c>
      <c r="C205">
        <v>2025</v>
      </c>
      <c r="D205" t="s">
        <v>85</v>
      </c>
      <c r="E205" t="s">
        <v>20</v>
      </c>
      <c r="F205" t="s">
        <v>21</v>
      </c>
      <c r="G205">
        <v>41</v>
      </c>
      <c r="H205" t="s">
        <v>22</v>
      </c>
      <c r="I205" t="s">
        <v>37</v>
      </c>
      <c r="J205" s="2">
        <v>199</v>
      </c>
      <c r="K205" t="s">
        <v>57</v>
      </c>
      <c r="L205">
        <v>60</v>
      </c>
      <c r="M205" t="s">
        <v>25</v>
      </c>
      <c r="N205" t="s">
        <v>55</v>
      </c>
      <c r="O205">
        <v>39</v>
      </c>
      <c r="P205" t="s">
        <v>27</v>
      </c>
      <c r="Q205">
        <v>5</v>
      </c>
      <c r="R205" s="2">
        <v>199</v>
      </c>
      <c r="S205" t="str">
        <f t="shared" si="6"/>
        <v>mid career adult</v>
      </c>
      <c r="T205" t="str">
        <f t="shared" si="7"/>
        <v>Binge watcher</v>
      </c>
    </row>
    <row r="206" spans="1:20" x14ac:dyDescent="0.3">
      <c r="A206" t="s">
        <v>265</v>
      </c>
      <c r="B206" s="1">
        <v>45134</v>
      </c>
      <c r="C206">
        <v>2023</v>
      </c>
      <c r="D206" t="s">
        <v>85</v>
      </c>
      <c r="E206" t="s">
        <v>35</v>
      </c>
      <c r="F206" t="s">
        <v>21</v>
      </c>
      <c r="G206">
        <v>34</v>
      </c>
      <c r="H206" t="s">
        <v>36</v>
      </c>
      <c r="I206" t="s">
        <v>37</v>
      </c>
      <c r="J206" s="2">
        <v>199</v>
      </c>
      <c r="K206" t="s">
        <v>30</v>
      </c>
      <c r="L206">
        <v>56</v>
      </c>
      <c r="M206" t="s">
        <v>25</v>
      </c>
      <c r="N206" t="s">
        <v>32</v>
      </c>
      <c r="O206">
        <v>7</v>
      </c>
      <c r="P206" t="s">
        <v>27</v>
      </c>
      <c r="Q206">
        <v>3</v>
      </c>
      <c r="R206" s="2">
        <v>199</v>
      </c>
      <c r="S206" t="str">
        <f t="shared" si="6"/>
        <v>Young Professionals</v>
      </c>
      <c r="T206" t="str">
        <f t="shared" si="7"/>
        <v>Binge watcher</v>
      </c>
    </row>
    <row r="207" spans="1:20" x14ac:dyDescent="0.3">
      <c r="A207" t="s">
        <v>266</v>
      </c>
      <c r="B207" s="1">
        <v>44903</v>
      </c>
      <c r="C207">
        <v>2022</v>
      </c>
      <c r="D207" t="s">
        <v>39</v>
      </c>
      <c r="E207" t="s">
        <v>35</v>
      </c>
      <c r="F207" t="s">
        <v>21</v>
      </c>
      <c r="G207">
        <v>52</v>
      </c>
      <c r="H207" t="s">
        <v>22</v>
      </c>
      <c r="I207" t="s">
        <v>37</v>
      </c>
      <c r="J207" s="2">
        <v>199</v>
      </c>
      <c r="K207" t="s">
        <v>30</v>
      </c>
      <c r="L207">
        <v>54</v>
      </c>
      <c r="M207" t="s">
        <v>41</v>
      </c>
      <c r="N207" t="s">
        <v>55</v>
      </c>
      <c r="O207">
        <v>17</v>
      </c>
      <c r="P207" t="s">
        <v>27</v>
      </c>
      <c r="Q207">
        <v>4</v>
      </c>
      <c r="R207" s="2">
        <v>199</v>
      </c>
      <c r="S207" t="str">
        <f t="shared" si="6"/>
        <v>Mature viewer</v>
      </c>
      <c r="T207" t="str">
        <f t="shared" si="7"/>
        <v>Binge watcher</v>
      </c>
    </row>
    <row r="208" spans="1:20" x14ac:dyDescent="0.3">
      <c r="A208" t="s">
        <v>267</v>
      </c>
      <c r="B208" s="1">
        <v>44802</v>
      </c>
      <c r="C208">
        <v>2022</v>
      </c>
      <c r="D208" t="s">
        <v>34</v>
      </c>
      <c r="E208" t="s">
        <v>52</v>
      </c>
      <c r="F208" t="s">
        <v>63</v>
      </c>
      <c r="G208">
        <v>44</v>
      </c>
      <c r="H208" t="s">
        <v>36</v>
      </c>
      <c r="I208" t="s">
        <v>23</v>
      </c>
      <c r="J208" s="2">
        <v>499</v>
      </c>
      <c r="K208" t="s">
        <v>67</v>
      </c>
      <c r="L208">
        <v>49</v>
      </c>
      <c r="M208" t="s">
        <v>31</v>
      </c>
      <c r="N208" t="s">
        <v>32</v>
      </c>
      <c r="O208">
        <v>39</v>
      </c>
      <c r="P208" t="s">
        <v>27</v>
      </c>
      <c r="Q208">
        <v>3</v>
      </c>
      <c r="R208" s="2">
        <v>499</v>
      </c>
      <c r="S208" t="str">
        <f t="shared" si="6"/>
        <v>mid career adult</v>
      </c>
      <c r="T208" t="str">
        <f t="shared" si="7"/>
        <v>Engaged Viewer</v>
      </c>
    </row>
    <row r="209" spans="1:20" x14ac:dyDescent="0.3">
      <c r="A209" t="s">
        <v>268</v>
      </c>
      <c r="B209" s="1">
        <v>45861</v>
      </c>
      <c r="C209">
        <v>2025</v>
      </c>
      <c r="D209" t="s">
        <v>85</v>
      </c>
      <c r="E209" t="s">
        <v>20</v>
      </c>
      <c r="F209" t="s">
        <v>29</v>
      </c>
      <c r="G209">
        <v>34</v>
      </c>
      <c r="H209" t="s">
        <v>22</v>
      </c>
      <c r="I209" t="s">
        <v>23</v>
      </c>
      <c r="J209" s="2">
        <v>499</v>
      </c>
      <c r="K209" t="s">
        <v>24</v>
      </c>
      <c r="L209">
        <v>59</v>
      </c>
      <c r="M209" t="s">
        <v>31</v>
      </c>
      <c r="N209" t="s">
        <v>26</v>
      </c>
      <c r="O209">
        <v>46</v>
      </c>
      <c r="P209" t="s">
        <v>27</v>
      </c>
      <c r="Q209">
        <v>4</v>
      </c>
      <c r="R209" s="2">
        <v>499</v>
      </c>
      <c r="S209" t="str">
        <f t="shared" si="6"/>
        <v>Young Professionals</v>
      </c>
      <c r="T209" t="str">
        <f t="shared" si="7"/>
        <v>Binge watcher</v>
      </c>
    </row>
    <row r="210" spans="1:20" x14ac:dyDescent="0.3">
      <c r="A210" t="s">
        <v>269</v>
      </c>
      <c r="B210" s="1">
        <v>44977</v>
      </c>
      <c r="C210">
        <v>2023</v>
      </c>
      <c r="D210" t="s">
        <v>111</v>
      </c>
      <c r="E210" t="s">
        <v>35</v>
      </c>
      <c r="F210" t="s">
        <v>29</v>
      </c>
      <c r="G210">
        <v>36</v>
      </c>
      <c r="H210" t="s">
        <v>36</v>
      </c>
      <c r="I210" t="s">
        <v>37</v>
      </c>
      <c r="J210" s="2">
        <v>199</v>
      </c>
      <c r="K210" t="s">
        <v>30</v>
      </c>
      <c r="L210">
        <v>42</v>
      </c>
      <c r="M210" t="s">
        <v>25</v>
      </c>
      <c r="N210" t="s">
        <v>26</v>
      </c>
      <c r="O210">
        <v>5</v>
      </c>
      <c r="P210" t="s">
        <v>27</v>
      </c>
      <c r="Q210">
        <v>3</v>
      </c>
      <c r="R210" s="2">
        <v>199</v>
      </c>
      <c r="S210" t="str">
        <f t="shared" si="6"/>
        <v>mid career adult</v>
      </c>
      <c r="T210" t="str">
        <f t="shared" si="7"/>
        <v>Engaged Viewer</v>
      </c>
    </row>
    <row r="211" spans="1:20" x14ac:dyDescent="0.3">
      <c r="A211" t="s">
        <v>270</v>
      </c>
      <c r="B211" s="1">
        <v>45515</v>
      </c>
      <c r="C211">
        <v>2024</v>
      </c>
      <c r="D211" t="s">
        <v>34</v>
      </c>
      <c r="E211" t="s">
        <v>52</v>
      </c>
      <c r="F211" t="s">
        <v>21</v>
      </c>
      <c r="G211">
        <v>35</v>
      </c>
      <c r="H211" t="s">
        <v>22</v>
      </c>
      <c r="I211" t="s">
        <v>23</v>
      </c>
      <c r="J211" s="2">
        <v>499</v>
      </c>
      <c r="K211" t="s">
        <v>57</v>
      </c>
      <c r="L211">
        <v>23</v>
      </c>
      <c r="M211" t="s">
        <v>41</v>
      </c>
      <c r="N211" t="s">
        <v>26</v>
      </c>
      <c r="O211">
        <v>34</v>
      </c>
      <c r="P211" t="s">
        <v>27</v>
      </c>
      <c r="Q211">
        <v>3</v>
      </c>
      <c r="R211" s="2">
        <v>499</v>
      </c>
      <c r="S211" t="str">
        <f t="shared" si="6"/>
        <v>mid career adult</v>
      </c>
      <c r="T211" t="str">
        <f t="shared" si="7"/>
        <v>Regular Viewer</v>
      </c>
    </row>
    <row r="212" spans="1:20" x14ac:dyDescent="0.3">
      <c r="A212" t="s">
        <v>271</v>
      </c>
      <c r="B212" s="1">
        <v>45234</v>
      </c>
      <c r="C212">
        <v>2023</v>
      </c>
      <c r="D212" t="s">
        <v>19</v>
      </c>
      <c r="E212" t="s">
        <v>35</v>
      </c>
      <c r="F212" t="s">
        <v>29</v>
      </c>
      <c r="G212">
        <v>42</v>
      </c>
      <c r="H212" t="s">
        <v>22</v>
      </c>
      <c r="I212" t="s">
        <v>23</v>
      </c>
      <c r="J212" s="2">
        <v>499</v>
      </c>
      <c r="K212" t="s">
        <v>57</v>
      </c>
      <c r="L212">
        <v>57</v>
      </c>
      <c r="M212" t="s">
        <v>31</v>
      </c>
      <c r="N212" t="s">
        <v>26</v>
      </c>
      <c r="O212">
        <v>5</v>
      </c>
      <c r="P212" t="s">
        <v>73</v>
      </c>
      <c r="Q212">
        <v>4</v>
      </c>
      <c r="R212" s="2">
        <v>0</v>
      </c>
      <c r="S212" t="str">
        <f t="shared" si="6"/>
        <v>mid career adult</v>
      </c>
      <c r="T212" t="str">
        <f t="shared" si="7"/>
        <v>Binge watcher</v>
      </c>
    </row>
    <row r="213" spans="1:20" x14ac:dyDescent="0.3">
      <c r="A213" t="s">
        <v>272</v>
      </c>
      <c r="B213" s="1">
        <v>44579</v>
      </c>
      <c r="C213">
        <v>2022</v>
      </c>
      <c r="D213" t="s">
        <v>62</v>
      </c>
      <c r="E213" t="s">
        <v>52</v>
      </c>
      <c r="F213" t="s">
        <v>29</v>
      </c>
      <c r="G213">
        <v>23</v>
      </c>
      <c r="H213" t="s">
        <v>22</v>
      </c>
      <c r="I213" t="s">
        <v>23</v>
      </c>
      <c r="J213" s="2">
        <v>499</v>
      </c>
      <c r="K213" t="s">
        <v>44</v>
      </c>
      <c r="L213">
        <v>33</v>
      </c>
      <c r="M213" t="s">
        <v>31</v>
      </c>
      <c r="N213" t="s">
        <v>58</v>
      </c>
      <c r="O213">
        <v>48</v>
      </c>
      <c r="P213" t="s">
        <v>27</v>
      </c>
      <c r="Q213">
        <v>5</v>
      </c>
      <c r="R213" s="2">
        <v>499</v>
      </c>
      <c r="S213" t="str">
        <f t="shared" si="6"/>
        <v>Genz viewer</v>
      </c>
      <c r="T213" t="str">
        <f t="shared" si="7"/>
        <v>Regular Viewer</v>
      </c>
    </row>
    <row r="214" spans="1:20" x14ac:dyDescent="0.3">
      <c r="A214" t="s">
        <v>273</v>
      </c>
      <c r="B214" s="1">
        <v>44940</v>
      </c>
      <c r="C214">
        <v>2023</v>
      </c>
      <c r="D214" t="s">
        <v>62</v>
      </c>
      <c r="E214" t="s">
        <v>35</v>
      </c>
      <c r="F214" t="s">
        <v>21</v>
      </c>
      <c r="G214">
        <v>37</v>
      </c>
      <c r="H214" t="s">
        <v>22</v>
      </c>
      <c r="I214" t="s">
        <v>37</v>
      </c>
      <c r="J214" s="2">
        <v>199</v>
      </c>
      <c r="K214" t="s">
        <v>53</v>
      </c>
      <c r="L214">
        <v>38</v>
      </c>
      <c r="M214" t="s">
        <v>45</v>
      </c>
      <c r="N214" t="s">
        <v>55</v>
      </c>
      <c r="O214">
        <v>31</v>
      </c>
      <c r="P214" t="s">
        <v>27</v>
      </c>
      <c r="Q214">
        <v>5</v>
      </c>
      <c r="R214" s="2">
        <v>199</v>
      </c>
      <c r="S214" t="str">
        <f t="shared" si="6"/>
        <v>mid career adult</v>
      </c>
      <c r="T214" t="str">
        <f t="shared" si="7"/>
        <v>Engaged Viewer</v>
      </c>
    </row>
    <row r="215" spans="1:20" x14ac:dyDescent="0.3">
      <c r="A215" t="s">
        <v>274</v>
      </c>
      <c r="B215" s="1">
        <v>44580</v>
      </c>
      <c r="C215">
        <v>2022</v>
      </c>
      <c r="D215" t="s">
        <v>62</v>
      </c>
      <c r="E215" t="s">
        <v>52</v>
      </c>
      <c r="F215" t="s">
        <v>29</v>
      </c>
      <c r="G215">
        <v>39</v>
      </c>
      <c r="H215" t="s">
        <v>36</v>
      </c>
      <c r="I215" t="s">
        <v>37</v>
      </c>
      <c r="J215" s="2">
        <v>199</v>
      </c>
      <c r="K215" t="s">
        <v>53</v>
      </c>
      <c r="L215">
        <v>23</v>
      </c>
      <c r="M215" t="s">
        <v>31</v>
      </c>
      <c r="N215" t="s">
        <v>26</v>
      </c>
      <c r="O215">
        <v>39</v>
      </c>
      <c r="P215" t="s">
        <v>27</v>
      </c>
      <c r="Q215">
        <v>5</v>
      </c>
      <c r="R215" s="2">
        <v>199</v>
      </c>
      <c r="S215" t="str">
        <f t="shared" si="6"/>
        <v>mid career adult</v>
      </c>
      <c r="T215" t="str">
        <f t="shared" si="7"/>
        <v>Regular Viewer</v>
      </c>
    </row>
    <row r="216" spans="1:20" x14ac:dyDescent="0.3">
      <c r="A216" t="s">
        <v>275</v>
      </c>
      <c r="B216" s="1">
        <v>45784</v>
      </c>
      <c r="C216">
        <v>2025</v>
      </c>
      <c r="D216" t="s">
        <v>79</v>
      </c>
      <c r="E216" t="s">
        <v>35</v>
      </c>
      <c r="F216" t="s">
        <v>63</v>
      </c>
      <c r="G216">
        <v>37</v>
      </c>
      <c r="H216" t="s">
        <v>22</v>
      </c>
      <c r="I216" t="s">
        <v>37</v>
      </c>
      <c r="J216" s="2">
        <v>199</v>
      </c>
      <c r="K216" t="s">
        <v>24</v>
      </c>
      <c r="L216">
        <v>41</v>
      </c>
      <c r="M216" t="s">
        <v>25</v>
      </c>
      <c r="N216" t="s">
        <v>55</v>
      </c>
      <c r="O216">
        <v>31</v>
      </c>
      <c r="P216" t="s">
        <v>27</v>
      </c>
      <c r="Q216">
        <v>3</v>
      </c>
      <c r="R216" s="2">
        <v>199</v>
      </c>
      <c r="S216" t="str">
        <f t="shared" si="6"/>
        <v>mid career adult</v>
      </c>
      <c r="T216" t="str">
        <f t="shared" si="7"/>
        <v>Engaged Viewer</v>
      </c>
    </row>
    <row r="217" spans="1:20" x14ac:dyDescent="0.3">
      <c r="A217" t="s">
        <v>276</v>
      </c>
      <c r="B217" s="1">
        <v>44861</v>
      </c>
      <c r="C217">
        <v>2022</v>
      </c>
      <c r="D217" t="s">
        <v>47</v>
      </c>
      <c r="E217" t="s">
        <v>35</v>
      </c>
      <c r="F217" t="s">
        <v>29</v>
      </c>
      <c r="G217">
        <v>52</v>
      </c>
      <c r="H217" t="s">
        <v>36</v>
      </c>
      <c r="I217" t="s">
        <v>37</v>
      </c>
      <c r="J217" s="2">
        <v>199</v>
      </c>
      <c r="K217" t="s">
        <v>53</v>
      </c>
      <c r="L217">
        <v>35</v>
      </c>
      <c r="M217" t="s">
        <v>41</v>
      </c>
      <c r="N217" t="s">
        <v>32</v>
      </c>
      <c r="O217">
        <v>11</v>
      </c>
      <c r="P217" t="s">
        <v>27</v>
      </c>
      <c r="Q217">
        <v>5</v>
      </c>
      <c r="R217" s="2">
        <v>199</v>
      </c>
      <c r="S217" t="str">
        <f t="shared" si="6"/>
        <v>Mature viewer</v>
      </c>
      <c r="T217" t="str">
        <f t="shared" si="7"/>
        <v>Regular Viewer</v>
      </c>
    </row>
    <row r="218" spans="1:20" x14ac:dyDescent="0.3">
      <c r="A218" t="s">
        <v>277</v>
      </c>
      <c r="B218" s="1">
        <v>45267</v>
      </c>
      <c r="C218">
        <v>2023</v>
      </c>
      <c r="D218" t="s">
        <v>39</v>
      </c>
      <c r="E218" t="s">
        <v>43</v>
      </c>
      <c r="F218" t="s">
        <v>29</v>
      </c>
      <c r="G218">
        <v>23</v>
      </c>
      <c r="H218" t="s">
        <v>36</v>
      </c>
      <c r="I218" t="s">
        <v>37</v>
      </c>
      <c r="J218" s="2">
        <v>199</v>
      </c>
      <c r="K218" t="s">
        <v>49</v>
      </c>
      <c r="L218">
        <v>59</v>
      </c>
      <c r="M218" t="s">
        <v>41</v>
      </c>
      <c r="N218" t="s">
        <v>58</v>
      </c>
      <c r="O218">
        <v>26</v>
      </c>
      <c r="P218" t="s">
        <v>27</v>
      </c>
      <c r="Q218">
        <v>4</v>
      </c>
      <c r="R218" s="2">
        <v>199</v>
      </c>
      <c r="S218" t="str">
        <f t="shared" si="6"/>
        <v>Genz viewer</v>
      </c>
      <c r="T218" t="str">
        <f t="shared" si="7"/>
        <v>Binge watcher</v>
      </c>
    </row>
    <row r="219" spans="1:20" x14ac:dyDescent="0.3">
      <c r="A219" t="s">
        <v>278</v>
      </c>
      <c r="B219" s="1">
        <v>45343</v>
      </c>
      <c r="C219">
        <v>2024</v>
      </c>
      <c r="D219" t="s">
        <v>111</v>
      </c>
      <c r="E219" t="s">
        <v>43</v>
      </c>
      <c r="F219" t="s">
        <v>63</v>
      </c>
      <c r="G219">
        <v>36</v>
      </c>
      <c r="H219" t="s">
        <v>36</v>
      </c>
      <c r="I219" t="s">
        <v>37</v>
      </c>
      <c r="J219" s="2">
        <v>199</v>
      </c>
      <c r="K219" t="s">
        <v>30</v>
      </c>
      <c r="L219">
        <v>28</v>
      </c>
      <c r="M219" t="s">
        <v>41</v>
      </c>
      <c r="N219" t="s">
        <v>32</v>
      </c>
      <c r="O219">
        <v>35</v>
      </c>
      <c r="P219" t="s">
        <v>27</v>
      </c>
      <c r="Q219">
        <v>3</v>
      </c>
      <c r="R219" s="2">
        <v>199</v>
      </c>
      <c r="S219" t="str">
        <f t="shared" si="6"/>
        <v>mid career adult</v>
      </c>
      <c r="T219" t="str">
        <f t="shared" si="7"/>
        <v>Regular Viewer</v>
      </c>
    </row>
    <row r="220" spans="1:20" x14ac:dyDescent="0.3">
      <c r="A220" t="s">
        <v>279</v>
      </c>
      <c r="B220" s="1">
        <v>44778</v>
      </c>
      <c r="C220">
        <v>2022</v>
      </c>
      <c r="D220" t="s">
        <v>34</v>
      </c>
      <c r="E220" t="s">
        <v>43</v>
      </c>
      <c r="F220" t="s">
        <v>29</v>
      </c>
      <c r="G220">
        <v>25</v>
      </c>
      <c r="H220" t="s">
        <v>22</v>
      </c>
      <c r="I220" t="s">
        <v>48</v>
      </c>
      <c r="J220" s="2">
        <v>649</v>
      </c>
      <c r="K220" t="s">
        <v>67</v>
      </c>
      <c r="L220">
        <v>52</v>
      </c>
      <c r="M220" t="s">
        <v>31</v>
      </c>
      <c r="N220" t="s">
        <v>26</v>
      </c>
      <c r="O220">
        <v>45</v>
      </c>
      <c r="P220" t="s">
        <v>27</v>
      </c>
      <c r="Q220">
        <v>3</v>
      </c>
      <c r="R220" s="2">
        <v>649</v>
      </c>
      <c r="S220" t="str">
        <f t="shared" si="6"/>
        <v>Young Professionals</v>
      </c>
      <c r="T220" t="str">
        <f t="shared" si="7"/>
        <v>Binge watcher</v>
      </c>
    </row>
    <row r="221" spans="1:20" x14ac:dyDescent="0.3">
      <c r="A221" t="s">
        <v>280</v>
      </c>
      <c r="B221" s="1">
        <v>44613</v>
      </c>
      <c r="C221">
        <v>2022</v>
      </c>
      <c r="D221" t="s">
        <v>111</v>
      </c>
      <c r="E221" t="s">
        <v>52</v>
      </c>
      <c r="F221" t="s">
        <v>29</v>
      </c>
      <c r="G221">
        <v>23</v>
      </c>
      <c r="H221" t="s">
        <v>22</v>
      </c>
      <c r="I221" t="s">
        <v>23</v>
      </c>
      <c r="J221" s="2">
        <v>499</v>
      </c>
      <c r="K221" t="s">
        <v>40</v>
      </c>
      <c r="L221">
        <v>53</v>
      </c>
      <c r="M221" t="s">
        <v>41</v>
      </c>
      <c r="N221" t="s">
        <v>58</v>
      </c>
      <c r="O221">
        <v>4</v>
      </c>
      <c r="P221" t="s">
        <v>27</v>
      </c>
      <c r="Q221">
        <v>4</v>
      </c>
      <c r="R221" s="2">
        <v>499</v>
      </c>
      <c r="S221" t="str">
        <f t="shared" si="6"/>
        <v>Genz viewer</v>
      </c>
      <c r="T221" t="str">
        <f t="shared" si="7"/>
        <v>Binge watcher</v>
      </c>
    </row>
    <row r="222" spans="1:20" x14ac:dyDescent="0.3">
      <c r="A222" t="s">
        <v>281</v>
      </c>
      <c r="B222" s="1">
        <v>44870</v>
      </c>
      <c r="C222">
        <v>2022</v>
      </c>
      <c r="D222" t="s">
        <v>19</v>
      </c>
      <c r="E222" t="s">
        <v>20</v>
      </c>
      <c r="F222" t="s">
        <v>29</v>
      </c>
      <c r="G222">
        <v>35</v>
      </c>
      <c r="H222" t="s">
        <v>22</v>
      </c>
      <c r="I222" t="s">
        <v>23</v>
      </c>
      <c r="J222" s="2">
        <v>499</v>
      </c>
      <c r="K222" t="s">
        <v>67</v>
      </c>
      <c r="L222">
        <v>23</v>
      </c>
      <c r="M222" t="s">
        <v>41</v>
      </c>
      <c r="N222" t="s">
        <v>32</v>
      </c>
      <c r="O222">
        <v>9</v>
      </c>
      <c r="P222" t="s">
        <v>27</v>
      </c>
      <c r="Q222">
        <v>5</v>
      </c>
      <c r="R222" s="2">
        <v>499</v>
      </c>
      <c r="S222" t="str">
        <f t="shared" si="6"/>
        <v>mid career adult</v>
      </c>
      <c r="T222" t="str">
        <f t="shared" si="7"/>
        <v>Regular Viewer</v>
      </c>
    </row>
    <row r="223" spans="1:20" x14ac:dyDescent="0.3">
      <c r="A223" t="s">
        <v>282</v>
      </c>
      <c r="B223" s="1">
        <v>45973</v>
      </c>
      <c r="C223">
        <v>2025</v>
      </c>
      <c r="D223" t="s">
        <v>19</v>
      </c>
      <c r="E223" t="s">
        <v>43</v>
      </c>
      <c r="F223" t="s">
        <v>63</v>
      </c>
      <c r="G223">
        <v>36</v>
      </c>
      <c r="H223" t="s">
        <v>22</v>
      </c>
      <c r="I223" t="s">
        <v>48</v>
      </c>
      <c r="J223" s="2">
        <v>649</v>
      </c>
      <c r="K223" t="s">
        <v>30</v>
      </c>
      <c r="L223">
        <v>54</v>
      </c>
      <c r="M223" t="s">
        <v>41</v>
      </c>
      <c r="N223" t="s">
        <v>32</v>
      </c>
      <c r="O223">
        <v>30</v>
      </c>
      <c r="P223" t="s">
        <v>27</v>
      </c>
      <c r="Q223">
        <v>5</v>
      </c>
      <c r="R223" s="2">
        <v>649</v>
      </c>
      <c r="S223" t="str">
        <f t="shared" si="6"/>
        <v>mid career adult</v>
      </c>
      <c r="T223" t="str">
        <f t="shared" si="7"/>
        <v>Binge watcher</v>
      </c>
    </row>
    <row r="224" spans="1:20" x14ac:dyDescent="0.3">
      <c r="A224" t="s">
        <v>283</v>
      </c>
      <c r="B224" s="1">
        <v>45133</v>
      </c>
      <c r="C224">
        <v>2023</v>
      </c>
      <c r="D224" t="s">
        <v>85</v>
      </c>
      <c r="E224" t="s">
        <v>43</v>
      </c>
      <c r="F224" t="s">
        <v>63</v>
      </c>
      <c r="G224">
        <v>26</v>
      </c>
      <c r="H224" t="s">
        <v>36</v>
      </c>
      <c r="I224" t="s">
        <v>23</v>
      </c>
      <c r="J224" s="2">
        <v>499</v>
      </c>
      <c r="K224" t="s">
        <v>40</v>
      </c>
      <c r="L224">
        <v>35</v>
      </c>
      <c r="M224" t="s">
        <v>45</v>
      </c>
      <c r="N224" t="s">
        <v>26</v>
      </c>
      <c r="O224">
        <v>35</v>
      </c>
      <c r="P224" t="s">
        <v>27</v>
      </c>
      <c r="Q224">
        <v>3</v>
      </c>
      <c r="R224" s="2">
        <v>499</v>
      </c>
      <c r="S224" t="str">
        <f t="shared" si="6"/>
        <v>Young Professionals</v>
      </c>
      <c r="T224" t="str">
        <f t="shared" si="7"/>
        <v>Regular Viewer</v>
      </c>
    </row>
    <row r="225" spans="1:20" x14ac:dyDescent="0.3">
      <c r="A225" t="s">
        <v>284</v>
      </c>
      <c r="B225" s="1">
        <v>45505</v>
      </c>
      <c r="C225">
        <v>2024</v>
      </c>
      <c r="D225" t="s">
        <v>34</v>
      </c>
      <c r="E225" t="s">
        <v>35</v>
      </c>
      <c r="F225" t="s">
        <v>21</v>
      </c>
      <c r="G225">
        <v>46</v>
      </c>
      <c r="H225" t="s">
        <v>22</v>
      </c>
      <c r="I225" t="s">
        <v>23</v>
      </c>
      <c r="J225" s="2">
        <v>499</v>
      </c>
      <c r="K225" t="s">
        <v>75</v>
      </c>
      <c r="L225">
        <v>34</v>
      </c>
      <c r="M225" t="s">
        <v>31</v>
      </c>
      <c r="N225" t="s">
        <v>58</v>
      </c>
      <c r="O225">
        <v>15</v>
      </c>
      <c r="P225" t="s">
        <v>27</v>
      </c>
      <c r="Q225">
        <v>4</v>
      </c>
      <c r="R225" s="2">
        <v>499</v>
      </c>
      <c r="S225" t="str">
        <f t="shared" si="6"/>
        <v>Mature viewer</v>
      </c>
      <c r="T225" t="str">
        <f t="shared" si="7"/>
        <v>Regular Viewer</v>
      </c>
    </row>
    <row r="226" spans="1:20" x14ac:dyDescent="0.3">
      <c r="A226" t="s">
        <v>285</v>
      </c>
      <c r="B226" s="1">
        <v>44670</v>
      </c>
      <c r="C226">
        <v>2022</v>
      </c>
      <c r="D226" t="s">
        <v>51</v>
      </c>
      <c r="E226" t="s">
        <v>52</v>
      </c>
      <c r="F226" t="s">
        <v>29</v>
      </c>
      <c r="G226">
        <v>45</v>
      </c>
      <c r="H226" t="s">
        <v>22</v>
      </c>
      <c r="I226" t="s">
        <v>48</v>
      </c>
      <c r="J226" s="2">
        <v>649</v>
      </c>
      <c r="K226" t="s">
        <v>30</v>
      </c>
      <c r="L226">
        <v>53</v>
      </c>
      <c r="M226" t="s">
        <v>25</v>
      </c>
      <c r="N226" t="s">
        <v>58</v>
      </c>
      <c r="O226">
        <v>22</v>
      </c>
      <c r="P226" t="s">
        <v>27</v>
      </c>
      <c r="Q226">
        <v>5</v>
      </c>
      <c r="R226" s="2">
        <v>649</v>
      </c>
      <c r="S226" t="str">
        <f t="shared" si="6"/>
        <v>Mature viewer</v>
      </c>
      <c r="T226" t="str">
        <f t="shared" si="7"/>
        <v>Binge watcher</v>
      </c>
    </row>
    <row r="227" spans="1:20" x14ac:dyDescent="0.3">
      <c r="A227" t="s">
        <v>286</v>
      </c>
      <c r="B227" s="1">
        <v>45655</v>
      </c>
      <c r="C227">
        <v>2024</v>
      </c>
      <c r="D227" t="s">
        <v>39</v>
      </c>
      <c r="E227" t="s">
        <v>20</v>
      </c>
      <c r="F227" t="s">
        <v>29</v>
      </c>
      <c r="G227">
        <v>33</v>
      </c>
      <c r="H227" t="s">
        <v>22</v>
      </c>
      <c r="I227" t="s">
        <v>37</v>
      </c>
      <c r="J227" s="2">
        <v>199</v>
      </c>
      <c r="K227" t="s">
        <v>53</v>
      </c>
      <c r="L227">
        <v>21</v>
      </c>
      <c r="M227" t="s">
        <v>31</v>
      </c>
      <c r="N227" t="s">
        <v>58</v>
      </c>
      <c r="O227">
        <v>16</v>
      </c>
      <c r="P227" t="s">
        <v>27</v>
      </c>
      <c r="Q227">
        <v>3</v>
      </c>
      <c r="R227" s="2">
        <v>199</v>
      </c>
      <c r="S227" t="str">
        <f t="shared" si="6"/>
        <v>Young Professionals</v>
      </c>
      <c r="T227" t="str">
        <f t="shared" si="7"/>
        <v>Regular Viewer</v>
      </c>
    </row>
    <row r="228" spans="1:20" x14ac:dyDescent="0.3">
      <c r="A228" t="s">
        <v>287</v>
      </c>
      <c r="B228" s="1">
        <v>45025</v>
      </c>
      <c r="C228">
        <v>2023</v>
      </c>
      <c r="D228" t="s">
        <v>51</v>
      </c>
      <c r="E228" t="s">
        <v>43</v>
      </c>
      <c r="F228" t="s">
        <v>29</v>
      </c>
      <c r="G228">
        <v>52</v>
      </c>
      <c r="H228" t="s">
        <v>22</v>
      </c>
      <c r="I228" t="s">
        <v>23</v>
      </c>
      <c r="J228" s="2">
        <v>499</v>
      </c>
      <c r="K228" t="s">
        <v>49</v>
      </c>
      <c r="L228">
        <v>25</v>
      </c>
      <c r="M228" t="s">
        <v>25</v>
      </c>
      <c r="N228" t="s">
        <v>26</v>
      </c>
      <c r="O228">
        <v>42</v>
      </c>
      <c r="P228" t="s">
        <v>27</v>
      </c>
      <c r="Q228">
        <v>5</v>
      </c>
      <c r="R228" s="2">
        <v>499</v>
      </c>
      <c r="S228" t="str">
        <f t="shared" si="6"/>
        <v>Mature viewer</v>
      </c>
      <c r="T228" t="str">
        <f t="shared" si="7"/>
        <v>Regular Viewer</v>
      </c>
    </row>
    <row r="229" spans="1:20" x14ac:dyDescent="0.3">
      <c r="A229" t="s">
        <v>288</v>
      </c>
      <c r="B229" s="1">
        <v>44602</v>
      </c>
      <c r="C229">
        <v>2022</v>
      </c>
      <c r="D229" t="s">
        <v>111</v>
      </c>
      <c r="E229" t="s">
        <v>20</v>
      </c>
      <c r="F229" t="s">
        <v>29</v>
      </c>
      <c r="G229">
        <v>42</v>
      </c>
      <c r="H229" t="s">
        <v>22</v>
      </c>
      <c r="I229" t="s">
        <v>23</v>
      </c>
      <c r="J229" s="2">
        <v>499</v>
      </c>
      <c r="K229" t="s">
        <v>75</v>
      </c>
      <c r="L229">
        <v>60</v>
      </c>
      <c r="M229" t="s">
        <v>25</v>
      </c>
      <c r="N229" t="s">
        <v>26</v>
      </c>
      <c r="O229">
        <v>26</v>
      </c>
      <c r="P229" t="s">
        <v>27</v>
      </c>
      <c r="Q229">
        <v>4</v>
      </c>
      <c r="R229" s="2">
        <v>499</v>
      </c>
      <c r="S229" t="str">
        <f t="shared" si="6"/>
        <v>mid career adult</v>
      </c>
      <c r="T229" t="str">
        <f t="shared" si="7"/>
        <v>Binge watcher</v>
      </c>
    </row>
    <row r="230" spans="1:20" x14ac:dyDescent="0.3">
      <c r="A230" t="s">
        <v>289</v>
      </c>
      <c r="B230" s="1">
        <v>45512</v>
      </c>
      <c r="C230">
        <v>2024</v>
      </c>
      <c r="D230" t="s">
        <v>34</v>
      </c>
      <c r="E230" t="s">
        <v>52</v>
      </c>
      <c r="F230" t="s">
        <v>29</v>
      </c>
      <c r="G230">
        <v>38</v>
      </c>
      <c r="H230" t="s">
        <v>22</v>
      </c>
      <c r="I230" t="s">
        <v>37</v>
      </c>
      <c r="J230" s="2">
        <v>199</v>
      </c>
      <c r="K230" t="s">
        <v>40</v>
      </c>
      <c r="L230">
        <v>46</v>
      </c>
      <c r="M230" t="s">
        <v>45</v>
      </c>
      <c r="N230" t="s">
        <v>55</v>
      </c>
      <c r="O230">
        <v>13</v>
      </c>
      <c r="P230" t="s">
        <v>73</v>
      </c>
      <c r="Q230">
        <v>5</v>
      </c>
      <c r="R230" s="2">
        <v>0</v>
      </c>
      <c r="S230" t="str">
        <f t="shared" si="6"/>
        <v>mid career adult</v>
      </c>
      <c r="T230" t="str">
        <f t="shared" si="7"/>
        <v>Engaged Viewer</v>
      </c>
    </row>
    <row r="231" spans="1:20" x14ac:dyDescent="0.3">
      <c r="A231" t="s">
        <v>290</v>
      </c>
      <c r="B231" s="1">
        <v>44716</v>
      </c>
      <c r="C231">
        <v>2022</v>
      </c>
      <c r="D231" t="s">
        <v>69</v>
      </c>
      <c r="E231" t="s">
        <v>52</v>
      </c>
      <c r="F231" t="s">
        <v>29</v>
      </c>
      <c r="G231">
        <v>43</v>
      </c>
      <c r="H231" t="s">
        <v>22</v>
      </c>
      <c r="I231" t="s">
        <v>37</v>
      </c>
      <c r="J231" s="2">
        <v>199</v>
      </c>
      <c r="K231" t="s">
        <v>75</v>
      </c>
      <c r="L231">
        <v>48</v>
      </c>
      <c r="M231" t="s">
        <v>25</v>
      </c>
      <c r="N231" t="s">
        <v>32</v>
      </c>
      <c r="O231">
        <v>1</v>
      </c>
      <c r="P231" t="s">
        <v>27</v>
      </c>
      <c r="Q231">
        <v>4</v>
      </c>
      <c r="R231" s="2">
        <v>199</v>
      </c>
      <c r="S231" t="str">
        <f t="shared" si="6"/>
        <v>mid career adult</v>
      </c>
      <c r="T231" t="str">
        <f t="shared" si="7"/>
        <v>Engaged Viewer</v>
      </c>
    </row>
    <row r="232" spans="1:20" x14ac:dyDescent="0.3">
      <c r="A232" t="s">
        <v>291</v>
      </c>
      <c r="B232" s="1">
        <v>45176</v>
      </c>
      <c r="C232">
        <v>2023</v>
      </c>
      <c r="D232" t="s">
        <v>60</v>
      </c>
      <c r="E232" t="s">
        <v>35</v>
      </c>
      <c r="F232" t="s">
        <v>29</v>
      </c>
      <c r="G232">
        <v>36</v>
      </c>
      <c r="H232" t="s">
        <v>36</v>
      </c>
      <c r="I232" t="s">
        <v>23</v>
      </c>
      <c r="J232" s="2">
        <v>499</v>
      </c>
      <c r="K232" t="s">
        <v>40</v>
      </c>
      <c r="L232">
        <v>51</v>
      </c>
      <c r="M232" t="s">
        <v>31</v>
      </c>
      <c r="N232" t="s">
        <v>58</v>
      </c>
      <c r="O232">
        <v>46</v>
      </c>
      <c r="P232" t="s">
        <v>27</v>
      </c>
      <c r="Q232">
        <v>5</v>
      </c>
      <c r="R232" s="2">
        <v>499</v>
      </c>
      <c r="S232" t="str">
        <f t="shared" si="6"/>
        <v>mid career adult</v>
      </c>
      <c r="T232" t="str">
        <f t="shared" si="7"/>
        <v>Binge watcher</v>
      </c>
    </row>
    <row r="233" spans="1:20" x14ac:dyDescent="0.3">
      <c r="A233" t="s">
        <v>292</v>
      </c>
      <c r="B233" s="1">
        <v>45487</v>
      </c>
      <c r="C233">
        <v>2024</v>
      </c>
      <c r="D233" t="s">
        <v>85</v>
      </c>
      <c r="E233" t="s">
        <v>43</v>
      </c>
      <c r="F233" t="s">
        <v>29</v>
      </c>
      <c r="G233">
        <v>36</v>
      </c>
      <c r="H233" t="s">
        <v>22</v>
      </c>
      <c r="I233" t="s">
        <v>37</v>
      </c>
      <c r="J233" s="2">
        <v>199</v>
      </c>
      <c r="K233" t="s">
        <v>30</v>
      </c>
      <c r="L233">
        <v>33</v>
      </c>
      <c r="M233" t="s">
        <v>41</v>
      </c>
      <c r="N233" t="s">
        <v>55</v>
      </c>
      <c r="O233">
        <v>48</v>
      </c>
      <c r="P233" t="s">
        <v>27</v>
      </c>
      <c r="Q233">
        <v>3</v>
      </c>
      <c r="R233" s="2">
        <v>199</v>
      </c>
      <c r="S233" t="str">
        <f t="shared" si="6"/>
        <v>mid career adult</v>
      </c>
      <c r="T233" t="str">
        <f t="shared" si="7"/>
        <v>Regular Viewer</v>
      </c>
    </row>
    <row r="234" spans="1:20" x14ac:dyDescent="0.3">
      <c r="A234" t="s">
        <v>293</v>
      </c>
      <c r="B234" s="1">
        <v>45331</v>
      </c>
      <c r="C234">
        <v>2024</v>
      </c>
      <c r="D234" t="s">
        <v>111</v>
      </c>
      <c r="E234" t="s">
        <v>43</v>
      </c>
      <c r="F234" t="s">
        <v>29</v>
      </c>
      <c r="G234">
        <v>38</v>
      </c>
      <c r="H234" t="s">
        <v>36</v>
      </c>
      <c r="I234" t="s">
        <v>48</v>
      </c>
      <c r="J234" s="2">
        <v>649</v>
      </c>
      <c r="K234" t="s">
        <v>30</v>
      </c>
      <c r="L234">
        <v>46</v>
      </c>
      <c r="M234" t="s">
        <v>31</v>
      </c>
      <c r="N234" t="s">
        <v>58</v>
      </c>
      <c r="O234">
        <v>37</v>
      </c>
      <c r="P234" t="s">
        <v>73</v>
      </c>
      <c r="Q234">
        <v>5</v>
      </c>
      <c r="R234" s="2">
        <v>0</v>
      </c>
      <c r="S234" t="str">
        <f t="shared" si="6"/>
        <v>mid career adult</v>
      </c>
      <c r="T234" t="str">
        <f t="shared" si="7"/>
        <v>Engaged Viewer</v>
      </c>
    </row>
    <row r="235" spans="1:20" x14ac:dyDescent="0.3">
      <c r="A235" t="s">
        <v>294</v>
      </c>
      <c r="B235" s="1">
        <v>45661</v>
      </c>
      <c r="C235">
        <v>2025</v>
      </c>
      <c r="D235" t="s">
        <v>62</v>
      </c>
      <c r="E235" t="s">
        <v>43</v>
      </c>
      <c r="F235" t="s">
        <v>21</v>
      </c>
      <c r="G235">
        <v>37</v>
      </c>
      <c r="H235" t="s">
        <v>36</v>
      </c>
      <c r="I235" t="s">
        <v>48</v>
      </c>
      <c r="J235" s="2">
        <v>649</v>
      </c>
      <c r="K235" t="s">
        <v>30</v>
      </c>
      <c r="L235">
        <v>22</v>
      </c>
      <c r="M235" t="s">
        <v>31</v>
      </c>
      <c r="N235" t="s">
        <v>55</v>
      </c>
      <c r="O235">
        <v>25</v>
      </c>
      <c r="P235" t="s">
        <v>27</v>
      </c>
      <c r="Q235">
        <v>4</v>
      </c>
      <c r="R235" s="2">
        <v>649</v>
      </c>
      <c r="S235" t="str">
        <f t="shared" si="6"/>
        <v>mid career adult</v>
      </c>
      <c r="T235" t="str">
        <f t="shared" si="7"/>
        <v>Regular Viewer</v>
      </c>
    </row>
    <row r="236" spans="1:20" x14ac:dyDescent="0.3">
      <c r="A236" t="s">
        <v>295</v>
      </c>
      <c r="B236" s="1">
        <v>45388</v>
      </c>
      <c r="C236">
        <v>2024</v>
      </c>
      <c r="D236" t="s">
        <v>51</v>
      </c>
      <c r="E236" t="s">
        <v>35</v>
      </c>
      <c r="F236" t="s">
        <v>21</v>
      </c>
      <c r="G236">
        <v>25</v>
      </c>
      <c r="H236" t="s">
        <v>22</v>
      </c>
      <c r="I236" t="s">
        <v>48</v>
      </c>
      <c r="J236" s="2">
        <v>649</v>
      </c>
      <c r="K236" t="s">
        <v>44</v>
      </c>
      <c r="L236">
        <v>36</v>
      </c>
      <c r="M236" t="s">
        <v>25</v>
      </c>
      <c r="N236" t="s">
        <v>32</v>
      </c>
      <c r="O236">
        <v>33</v>
      </c>
      <c r="P236" t="s">
        <v>27</v>
      </c>
      <c r="Q236">
        <v>5</v>
      </c>
      <c r="R236" s="2">
        <v>649</v>
      </c>
      <c r="S236" t="str">
        <f t="shared" si="6"/>
        <v>Young Professionals</v>
      </c>
      <c r="T236" t="str">
        <f t="shared" si="7"/>
        <v>Engaged Viewer</v>
      </c>
    </row>
    <row r="237" spans="1:20" x14ac:dyDescent="0.3">
      <c r="A237" t="s">
        <v>296</v>
      </c>
      <c r="B237" s="1">
        <v>45347</v>
      </c>
      <c r="C237">
        <v>2024</v>
      </c>
      <c r="D237" t="s">
        <v>111</v>
      </c>
      <c r="E237" t="s">
        <v>20</v>
      </c>
      <c r="F237" t="s">
        <v>63</v>
      </c>
      <c r="G237">
        <v>20</v>
      </c>
      <c r="H237" t="s">
        <v>36</v>
      </c>
      <c r="I237" t="s">
        <v>37</v>
      </c>
      <c r="J237" s="2">
        <v>199</v>
      </c>
      <c r="K237" t="s">
        <v>53</v>
      </c>
      <c r="L237">
        <v>58</v>
      </c>
      <c r="M237" t="s">
        <v>41</v>
      </c>
      <c r="N237" t="s">
        <v>26</v>
      </c>
      <c r="O237">
        <v>17</v>
      </c>
      <c r="P237" t="s">
        <v>73</v>
      </c>
      <c r="Q237">
        <v>4</v>
      </c>
      <c r="R237" s="2">
        <v>0</v>
      </c>
      <c r="S237" t="str">
        <f t="shared" si="6"/>
        <v>Genz viewer</v>
      </c>
      <c r="T237" t="str">
        <f t="shared" si="7"/>
        <v>Binge watcher</v>
      </c>
    </row>
    <row r="238" spans="1:20" x14ac:dyDescent="0.3">
      <c r="A238" t="s">
        <v>297</v>
      </c>
      <c r="B238" s="1">
        <v>45459</v>
      </c>
      <c r="C238">
        <v>2024</v>
      </c>
      <c r="D238" t="s">
        <v>69</v>
      </c>
      <c r="E238" t="s">
        <v>52</v>
      </c>
      <c r="F238" t="s">
        <v>21</v>
      </c>
      <c r="G238">
        <v>25</v>
      </c>
      <c r="H238" t="s">
        <v>36</v>
      </c>
      <c r="I238" t="s">
        <v>23</v>
      </c>
      <c r="J238" s="2">
        <v>499</v>
      </c>
      <c r="K238" t="s">
        <v>44</v>
      </c>
      <c r="L238">
        <v>29</v>
      </c>
      <c r="M238" t="s">
        <v>45</v>
      </c>
      <c r="N238" t="s">
        <v>26</v>
      </c>
      <c r="O238">
        <v>37</v>
      </c>
      <c r="P238" t="s">
        <v>27</v>
      </c>
      <c r="Q238">
        <v>3</v>
      </c>
      <c r="R238" s="2">
        <v>499</v>
      </c>
      <c r="S238" t="str">
        <f t="shared" si="6"/>
        <v>Young Professionals</v>
      </c>
      <c r="T238" t="str">
        <f t="shared" si="7"/>
        <v>Regular Viewer</v>
      </c>
    </row>
    <row r="239" spans="1:20" x14ac:dyDescent="0.3">
      <c r="A239" t="s">
        <v>298</v>
      </c>
      <c r="B239" s="1">
        <v>45094</v>
      </c>
      <c r="C239">
        <v>2023</v>
      </c>
      <c r="D239" t="s">
        <v>69</v>
      </c>
      <c r="E239" t="s">
        <v>43</v>
      </c>
      <c r="F239" t="s">
        <v>29</v>
      </c>
      <c r="G239">
        <v>34</v>
      </c>
      <c r="H239" t="s">
        <v>22</v>
      </c>
      <c r="I239" t="s">
        <v>37</v>
      </c>
      <c r="J239" s="2">
        <v>199</v>
      </c>
      <c r="K239" t="s">
        <v>24</v>
      </c>
      <c r="L239">
        <v>21</v>
      </c>
      <c r="M239" t="s">
        <v>45</v>
      </c>
      <c r="N239" t="s">
        <v>32</v>
      </c>
      <c r="O239">
        <v>5</v>
      </c>
      <c r="P239" t="s">
        <v>27</v>
      </c>
      <c r="Q239">
        <v>4</v>
      </c>
      <c r="R239" s="2">
        <v>199</v>
      </c>
      <c r="S239" t="str">
        <f t="shared" si="6"/>
        <v>Young Professionals</v>
      </c>
      <c r="T239" t="str">
        <f t="shared" si="7"/>
        <v>Regular Viewer</v>
      </c>
    </row>
    <row r="240" spans="1:20" x14ac:dyDescent="0.3">
      <c r="A240" t="s">
        <v>299</v>
      </c>
      <c r="B240" s="1">
        <v>45288</v>
      </c>
      <c r="C240">
        <v>2023</v>
      </c>
      <c r="D240" t="s">
        <v>39</v>
      </c>
      <c r="E240" t="s">
        <v>52</v>
      </c>
      <c r="F240" t="s">
        <v>21</v>
      </c>
      <c r="G240">
        <v>23</v>
      </c>
      <c r="H240" t="s">
        <v>22</v>
      </c>
      <c r="I240" t="s">
        <v>37</v>
      </c>
      <c r="J240" s="2">
        <v>199</v>
      </c>
      <c r="K240" t="s">
        <v>53</v>
      </c>
      <c r="L240">
        <v>41</v>
      </c>
      <c r="M240" t="s">
        <v>41</v>
      </c>
      <c r="N240" t="s">
        <v>58</v>
      </c>
      <c r="O240">
        <v>18</v>
      </c>
      <c r="P240" t="s">
        <v>27</v>
      </c>
      <c r="Q240">
        <v>4</v>
      </c>
      <c r="R240" s="2">
        <v>199</v>
      </c>
      <c r="S240" t="str">
        <f t="shared" si="6"/>
        <v>Genz viewer</v>
      </c>
      <c r="T240" t="str">
        <f t="shared" si="7"/>
        <v>Engaged Viewer</v>
      </c>
    </row>
    <row r="241" spans="1:20" x14ac:dyDescent="0.3">
      <c r="A241" t="s">
        <v>300</v>
      </c>
      <c r="B241" s="1">
        <v>45383</v>
      </c>
      <c r="C241">
        <v>2024</v>
      </c>
      <c r="D241" t="s">
        <v>51</v>
      </c>
      <c r="E241" t="s">
        <v>43</v>
      </c>
      <c r="F241" t="s">
        <v>63</v>
      </c>
      <c r="G241">
        <v>51</v>
      </c>
      <c r="H241" t="s">
        <v>22</v>
      </c>
      <c r="I241" t="s">
        <v>37</v>
      </c>
      <c r="J241" s="2">
        <v>199</v>
      </c>
      <c r="K241" t="s">
        <v>75</v>
      </c>
      <c r="L241">
        <v>28</v>
      </c>
      <c r="M241" t="s">
        <v>41</v>
      </c>
      <c r="N241" t="s">
        <v>32</v>
      </c>
      <c r="O241">
        <v>19</v>
      </c>
      <c r="P241" t="s">
        <v>27</v>
      </c>
      <c r="Q241">
        <v>5</v>
      </c>
      <c r="R241" s="2">
        <v>199</v>
      </c>
      <c r="S241" t="str">
        <f t="shared" si="6"/>
        <v>Mature viewer</v>
      </c>
      <c r="T241" t="str">
        <f t="shared" si="7"/>
        <v>Regular Viewer</v>
      </c>
    </row>
    <row r="242" spans="1:20" x14ac:dyDescent="0.3">
      <c r="A242" t="s">
        <v>301</v>
      </c>
      <c r="B242" s="1">
        <v>45115</v>
      </c>
      <c r="C242">
        <v>2023</v>
      </c>
      <c r="D242" t="s">
        <v>85</v>
      </c>
      <c r="E242" t="s">
        <v>35</v>
      </c>
      <c r="F242" t="s">
        <v>63</v>
      </c>
      <c r="G242">
        <v>37</v>
      </c>
      <c r="H242" t="s">
        <v>22</v>
      </c>
      <c r="I242" t="s">
        <v>23</v>
      </c>
      <c r="J242" s="2">
        <v>499</v>
      </c>
      <c r="K242" t="s">
        <v>24</v>
      </c>
      <c r="L242">
        <v>31</v>
      </c>
      <c r="M242" t="s">
        <v>45</v>
      </c>
      <c r="N242" t="s">
        <v>55</v>
      </c>
      <c r="O242">
        <v>6</v>
      </c>
      <c r="P242" t="s">
        <v>27</v>
      </c>
      <c r="Q242">
        <v>4</v>
      </c>
      <c r="R242" s="2">
        <v>499</v>
      </c>
      <c r="S242" t="str">
        <f t="shared" si="6"/>
        <v>mid career adult</v>
      </c>
      <c r="T242" t="str">
        <f t="shared" si="7"/>
        <v>Regular Viewer</v>
      </c>
    </row>
    <row r="243" spans="1:20" x14ac:dyDescent="0.3">
      <c r="A243" t="s">
        <v>302</v>
      </c>
      <c r="B243" s="1">
        <v>45736</v>
      </c>
      <c r="C243">
        <v>2025</v>
      </c>
      <c r="D243" t="s">
        <v>66</v>
      </c>
      <c r="E243" t="s">
        <v>35</v>
      </c>
      <c r="F243" t="s">
        <v>29</v>
      </c>
      <c r="G243">
        <v>41</v>
      </c>
      <c r="H243" t="s">
        <v>36</v>
      </c>
      <c r="I243" t="s">
        <v>23</v>
      </c>
      <c r="J243" s="2">
        <v>499</v>
      </c>
      <c r="K243" t="s">
        <v>40</v>
      </c>
      <c r="L243">
        <v>54</v>
      </c>
      <c r="M243" t="s">
        <v>25</v>
      </c>
      <c r="N243" t="s">
        <v>26</v>
      </c>
      <c r="O243">
        <v>14</v>
      </c>
      <c r="P243" t="s">
        <v>27</v>
      </c>
      <c r="Q243">
        <v>4</v>
      </c>
      <c r="R243" s="2">
        <v>499</v>
      </c>
      <c r="S243" t="str">
        <f t="shared" si="6"/>
        <v>mid career adult</v>
      </c>
      <c r="T243" t="str">
        <f t="shared" si="7"/>
        <v>Binge watcher</v>
      </c>
    </row>
    <row r="244" spans="1:20" x14ac:dyDescent="0.3">
      <c r="A244" t="s">
        <v>303</v>
      </c>
      <c r="B244" s="1">
        <v>45452</v>
      </c>
      <c r="C244">
        <v>2024</v>
      </c>
      <c r="D244" t="s">
        <v>69</v>
      </c>
      <c r="E244" t="s">
        <v>20</v>
      </c>
      <c r="F244" t="s">
        <v>21</v>
      </c>
      <c r="G244">
        <v>27</v>
      </c>
      <c r="H244" t="s">
        <v>36</v>
      </c>
      <c r="I244" t="s">
        <v>48</v>
      </c>
      <c r="J244" s="2">
        <v>649</v>
      </c>
      <c r="K244" t="s">
        <v>40</v>
      </c>
      <c r="L244">
        <v>40</v>
      </c>
      <c r="M244" t="s">
        <v>45</v>
      </c>
      <c r="N244" t="s">
        <v>32</v>
      </c>
      <c r="O244">
        <v>11</v>
      </c>
      <c r="P244" t="s">
        <v>27</v>
      </c>
      <c r="Q244">
        <v>3</v>
      </c>
      <c r="R244" s="2">
        <v>649</v>
      </c>
      <c r="S244" t="str">
        <f t="shared" si="6"/>
        <v>Young Professionals</v>
      </c>
      <c r="T244" t="str">
        <f t="shared" si="7"/>
        <v>Engaged Viewer</v>
      </c>
    </row>
    <row r="245" spans="1:20" x14ac:dyDescent="0.3">
      <c r="A245" t="s">
        <v>304</v>
      </c>
      <c r="B245" s="1">
        <v>44893</v>
      </c>
      <c r="C245">
        <v>2022</v>
      </c>
      <c r="D245" t="s">
        <v>19</v>
      </c>
      <c r="E245" t="s">
        <v>20</v>
      </c>
      <c r="F245" t="s">
        <v>29</v>
      </c>
      <c r="G245">
        <v>24</v>
      </c>
      <c r="H245" t="s">
        <v>22</v>
      </c>
      <c r="I245" t="s">
        <v>37</v>
      </c>
      <c r="J245" s="2">
        <v>199</v>
      </c>
      <c r="K245" t="s">
        <v>75</v>
      </c>
      <c r="L245">
        <v>26</v>
      </c>
      <c r="M245" t="s">
        <v>25</v>
      </c>
      <c r="N245" t="s">
        <v>26</v>
      </c>
      <c r="O245">
        <v>30</v>
      </c>
      <c r="P245" t="s">
        <v>27</v>
      </c>
      <c r="Q245">
        <v>4</v>
      </c>
      <c r="R245" s="2">
        <v>199</v>
      </c>
      <c r="S245" t="str">
        <f t="shared" si="6"/>
        <v>Genz viewer</v>
      </c>
      <c r="T245" t="str">
        <f t="shared" si="7"/>
        <v>Regular Viewer</v>
      </c>
    </row>
    <row r="246" spans="1:20" x14ac:dyDescent="0.3">
      <c r="A246" t="s">
        <v>305</v>
      </c>
      <c r="B246" s="1">
        <v>45759</v>
      </c>
      <c r="C246">
        <v>2025</v>
      </c>
      <c r="D246" t="s">
        <v>51</v>
      </c>
      <c r="E246" t="s">
        <v>52</v>
      </c>
      <c r="F246" t="s">
        <v>63</v>
      </c>
      <c r="G246">
        <v>35</v>
      </c>
      <c r="H246" t="s">
        <v>36</v>
      </c>
      <c r="I246" t="s">
        <v>23</v>
      </c>
      <c r="J246" s="2">
        <v>499</v>
      </c>
      <c r="K246" t="s">
        <v>49</v>
      </c>
      <c r="L246">
        <v>36</v>
      </c>
      <c r="M246" t="s">
        <v>41</v>
      </c>
      <c r="N246" t="s">
        <v>58</v>
      </c>
      <c r="O246">
        <v>6</v>
      </c>
      <c r="P246" t="s">
        <v>27</v>
      </c>
      <c r="Q246">
        <v>3</v>
      </c>
      <c r="R246" s="2">
        <v>499</v>
      </c>
      <c r="S246" t="str">
        <f t="shared" si="6"/>
        <v>mid career adult</v>
      </c>
      <c r="T246" t="str">
        <f t="shared" si="7"/>
        <v>Engaged Viewer</v>
      </c>
    </row>
    <row r="247" spans="1:20" x14ac:dyDescent="0.3">
      <c r="A247" t="s">
        <v>306</v>
      </c>
      <c r="B247" s="1">
        <v>46022</v>
      </c>
      <c r="C247">
        <v>2025</v>
      </c>
      <c r="D247" t="s">
        <v>39</v>
      </c>
      <c r="E247" t="s">
        <v>35</v>
      </c>
      <c r="F247" t="s">
        <v>29</v>
      </c>
      <c r="G247">
        <v>40</v>
      </c>
      <c r="H247" t="s">
        <v>22</v>
      </c>
      <c r="I247" t="s">
        <v>23</v>
      </c>
      <c r="J247" s="2">
        <v>499</v>
      </c>
      <c r="K247" t="s">
        <v>75</v>
      </c>
      <c r="L247">
        <v>48</v>
      </c>
      <c r="M247" t="s">
        <v>41</v>
      </c>
      <c r="N247" t="s">
        <v>26</v>
      </c>
      <c r="O247">
        <v>2</v>
      </c>
      <c r="P247" t="s">
        <v>27</v>
      </c>
      <c r="Q247">
        <v>3</v>
      </c>
      <c r="R247" s="2">
        <v>499</v>
      </c>
      <c r="S247" t="str">
        <f t="shared" si="6"/>
        <v>mid career adult</v>
      </c>
      <c r="T247" t="str">
        <f t="shared" si="7"/>
        <v>Engaged Viewer</v>
      </c>
    </row>
    <row r="248" spans="1:20" x14ac:dyDescent="0.3">
      <c r="A248" t="s">
        <v>307</v>
      </c>
      <c r="B248" s="1">
        <v>45916</v>
      </c>
      <c r="C248">
        <v>2025</v>
      </c>
      <c r="D248" t="s">
        <v>60</v>
      </c>
      <c r="E248" t="s">
        <v>35</v>
      </c>
      <c r="F248" t="s">
        <v>63</v>
      </c>
      <c r="G248">
        <v>48</v>
      </c>
      <c r="H248" t="s">
        <v>36</v>
      </c>
      <c r="I248" t="s">
        <v>37</v>
      </c>
      <c r="J248" s="2">
        <v>199</v>
      </c>
      <c r="K248" t="s">
        <v>44</v>
      </c>
      <c r="L248">
        <v>40</v>
      </c>
      <c r="M248" t="s">
        <v>41</v>
      </c>
      <c r="N248" t="s">
        <v>55</v>
      </c>
      <c r="O248">
        <v>46</v>
      </c>
      <c r="P248" t="s">
        <v>27</v>
      </c>
      <c r="Q248">
        <v>5</v>
      </c>
      <c r="R248" s="2">
        <v>199</v>
      </c>
      <c r="S248" t="str">
        <f t="shared" si="6"/>
        <v>Mature viewer</v>
      </c>
      <c r="T248" t="str">
        <f t="shared" si="7"/>
        <v>Engaged Viewer</v>
      </c>
    </row>
    <row r="249" spans="1:20" x14ac:dyDescent="0.3">
      <c r="A249" t="s">
        <v>308</v>
      </c>
      <c r="B249" s="1">
        <v>45344</v>
      </c>
      <c r="C249">
        <v>2024</v>
      </c>
      <c r="D249" t="s">
        <v>111</v>
      </c>
      <c r="E249" t="s">
        <v>20</v>
      </c>
      <c r="F249" t="s">
        <v>21</v>
      </c>
      <c r="G249">
        <v>22</v>
      </c>
      <c r="H249" t="s">
        <v>36</v>
      </c>
      <c r="I249" t="s">
        <v>37</v>
      </c>
      <c r="J249" s="2">
        <v>199</v>
      </c>
      <c r="K249" t="s">
        <v>40</v>
      </c>
      <c r="L249">
        <v>53</v>
      </c>
      <c r="M249" t="s">
        <v>31</v>
      </c>
      <c r="N249" t="s">
        <v>58</v>
      </c>
      <c r="O249">
        <v>36</v>
      </c>
      <c r="P249" t="s">
        <v>27</v>
      </c>
      <c r="Q249">
        <v>5</v>
      </c>
      <c r="R249" s="2">
        <v>199</v>
      </c>
      <c r="S249" t="str">
        <f t="shared" si="6"/>
        <v>Genz viewer</v>
      </c>
      <c r="T249" t="str">
        <f t="shared" si="7"/>
        <v>Binge watcher</v>
      </c>
    </row>
    <row r="250" spans="1:20" x14ac:dyDescent="0.3">
      <c r="A250" t="s">
        <v>309</v>
      </c>
      <c r="B250" s="1">
        <v>45629</v>
      </c>
      <c r="C250">
        <v>2024</v>
      </c>
      <c r="D250" t="s">
        <v>39</v>
      </c>
      <c r="E250" t="s">
        <v>35</v>
      </c>
      <c r="F250" t="s">
        <v>29</v>
      </c>
      <c r="G250">
        <v>55</v>
      </c>
      <c r="H250" t="s">
        <v>22</v>
      </c>
      <c r="I250" t="s">
        <v>37</v>
      </c>
      <c r="J250" s="2">
        <v>199</v>
      </c>
      <c r="K250" t="s">
        <v>49</v>
      </c>
      <c r="L250">
        <v>33</v>
      </c>
      <c r="M250" t="s">
        <v>25</v>
      </c>
      <c r="N250" t="s">
        <v>55</v>
      </c>
      <c r="O250">
        <v>39</v>
      </c>
      <c r="P250" t="s">
        <v>27</v>
      </c>
      <c r="Q250">
        <v>4</v>
      </c>
      <c r="R250" s="2">
        <v>199</v>
      </c>
      <c r="S250" t="str">
        <f t="shared" si="6"/>
        <v>senior viewer</v>
      </c>
      <c r="T250" t="str">
        <f t="shared" si="7"/>
        <v>Regular Viewer</v>
      </c>
    </row>
    <row r="251" spans="1:20" x14ac:dyDescent="0.3">
      <c r="A251" t="s">
        <v>310</v>
      </c>
      <c r="B251" s="1">
        <v>44627</v>
      </c>
      <c r="C251">
        <v>2022</v>
      </c>
      <c r="D251" t="s">
        <v>66</v>
      </c>
      <c r="E251" t="s">
        <v>43</v>
      </c>
      <c r="F251" t="s">
        <v>63</v>
      </c>
      <c r="G251">
        <v>23</v>
      </c>
      <c r="H251" t="s">
        <v>22</v>
      </c>
      <c r="I251" t="s">
        <v>23</v>
      </c>
      <c r="J251" s="2">
        <v>499</v>
      </c>
      <c r="K251" t="s">
        <v>49</v>
      </c>
      <c r="L251">
        <v>59</v>
      </c>
      <c r="M251" t="s">
        <v>31</v>
      </c>
      <c r="N251" t="s">
        <v>55</v>
      </c>
      <c r="O251">
        <v>39</v>
      </c>
      <c r="P251" t="s">
        <v>27</v>
      </c>
      <c r="Q251">
        <v>5</v>
      </c>
      <c r="R251" s="2">
        <v>499</v>
      </c>
      <c r="S251" t="str">
        <f t="shared" si="6"/>
        <v>Genz viewer</v>
      </c>
      <c r="T251" t="str">
        <f t="shared" si="7"/>
        <v>Binge watcher</v>
      </c>
    </row>
    <row r="252" spans="1:20" x14ac:dyDescent="0.3">
      <c r="A252" t="s">
        <v>311</v>
      </c>
      <c r="B252" s="1">
        <v>45370</v>
      </c>
      <c r="C252">
        <v>2024</v>
      </c>
      <c r="D252" t="s">
        <v>66</v>
      </c>
      <c r="E252" t="s">
        <v>20</v>
      </c>
      <c r="F252" t="s">
        <v>29</v>
      </c>
      <c r="G252">
        <v>29</v>
      </c>
      <c r="H252" t="s">
        <v>22</v>
      </c>
      <c r="I252" t="s">
        <v>37</v>
      </c>
      <c r="J252" s="2">
        <v>199</v>
      </c>
      <c r="K252" t="s">
        <v>67</v>
      </c>
      <c r="L252">
        <v>42</v>
      </c>
      <c r="M252" t="s">
        <v>45</v>
      </c>
      <c r="N252" t="s">
        <v>58</v>
      </c>
      <c r="O252">
        <v>9</v>
      </c>
      <c r="P252" t="s">
        <v>27</v>
      </c>
      <c r="Q252">
        <v>5</v>
      </c>
      <c r="R252" s="2">
        <v>199</v>
      </c>
      <c r="S252" t="str">
        <f t="shared" si="6"/>
        <v>Young Professionals</v>
      </c>
      <c r="T252" t="str">
        <f t="shared" si="7"/>
        <v>Engaged Viewer</v>
      </c>
    </row>
    <row r="253" spans="1:20" x14ac:dyDescent="0.3">
      <c r="A253" t="s">
        <v>312</v>
      </c>
      <c r="B253" s="1">
        <v>44835</v>
      </c>
      <c r="C253">
        <v>2022</v>
      </c>
      <c r="D253" t="s">
        <v>47</v>
      </c>
      <c r="E253" t="s">
        <v>35</v>
      </c>
      <c r="F253" t="s">
        <v>29</v>
      </c>
      <c r="G253">
        <v>43</v>
      </c>
      <c r="H253" t="s">
        <v>22</v>
      </c>
      <c r="I253" t="s">
        <v>48</v>
      </c>
      <c r="J253" s="2">
        <v>649</v>
      </c>
      <c r="K253" t="s">
        <v>49</v>
      </c>
      <c r="L253">
        <v>39</v>
      </c>
      <c r="M253" t="s">
        <v>41</v>
      </c>
      <c r="N253" t="s">
        <v>32</v>
      </c>
      <c r="O253">
        <v>18</v>
      </c>
      <c r="P253" t="s">
        <v>27</v>
      </c>
      <c r="Q253">
        <v>4</v>
      </c>
      <c r="R253" s="2">
        <v>649</v>
      </c>
      <c r="S253" t="str">
        <f t="shared" si="6"/>
        <v>mid career adult</v>
      </c>
      <c r="T253" t="str">
        <f t="shared" si="7"/>
        <v>Engaged Viewer</v>
      </c>
    </row>
    <row r="254" spans="1:20" x14ac:dyDescent="0.3">
      <c r="A254" t="s">
        <v>313</v>
      </c>
      <c r="B254" s="1">
        <v>44798</v>
      </c>
      <c r="C254">
        <v>2022</v>
      </c>
      <c r="D254" t="s">
        <v>34</v>
      </c>
      <c r="E254" t="s">
        <v>52</v>
      </c>
      <c r="F254" t="s">
        <v>21</v>
      </c>
      <c r="G254">
        <v>50</v>
      </c>
      <c r="H254" t="s">
        <v>36</v>
      </c>
      <c r="I254" t="s">
        <v>37</v>
      </c>
      <c r="J254" s="2">
        <v>199</v>
      </c>
      <c r="K254" t="s">
        <v>30</v>
      </c>
      <c r="L254">
        <v>29</v>
      </c>
      <c r="M254" t="s">
        <v>45</v>
      </c>
      <c r="N254" t="s">
        <v>32</v>
      </c>
      <c r="O254">
        <v>36</v>
      </c>
      <c r="P254" t="s">
        <v>27</v>
      </c>
      <c r="Q254">
        <v>5</v>
      </c>
      <c r="R254" s="2">
        <v>199</v>
      </c>
      <c r="S254" t="str">
        <f t="shared" si="6"/>
        <v>Mature viewer</v>
      </c>
      <c r="T254" t="str">
        <f t="shared" si="7"/>
        <v>Regular Viewer</v>
      </c>
    </row>
    <row r="255" spans="1:20" x14ac:dyDescent="0.3">
      <c r="A255" t="s">
        <v>314</v>
      </c>
      <c r="B255" s="1">
        <v>45415</v>
      </c>
      <c r="C255">
        <v>2024</v>
      </c>
      <c r="D255" t="s">
        <v>79</v>
      </c>
      <c r="E255" t="s">
        <v>20</v>
      </c>
      <c r="F255" t="s">
        <v>63</v>
      </c>
      <c r="G255">
        <v>40</v>
      </c>
      <c r="H255" t="s">
        <v>36</v>
      </c>
      <c r="I255" t="s">
        <v>48</v>
      </c>
      <c r="J255" s="2">
        <v>649</v>
      </c>
      <c r="K255" t="s">
        <v>24</v>
      </c>
      <c r="L255">
        <v>32</v>
      </c>
      <c r="M255" t="s">
        <v>41</v>
      </c>
      <c r="N255" t="s">
        <v>32</v>
      </c>
      <c r="O255">
        <v>43</v>
      </c>
      <c r="P255" t="s">
        <v>27</v>
      </c>
      <c r="Q255">
        <v>3</v>
      </c>
      <c r="R255" s="2">
        <v>649</v>
      </c>
      <c r="S255" t="str">
        <f t="shared" si="6"/>
        <v>mid career adult</v>
      </c>
      <c r="T255" t="str">
        <f t="shared" si="7"/>
        <v>Regular Viewer</v>
      </c>
    </row>
    <row r="256" spans="1:20" x14ac:dyDescent="0.3">
      <c r="A256" t="s">
        <v>315</v>
      </c>
      <c r="B256" s="1">
        <v>44998</v>
      </c>
      <c r="C256">
        <v>2023</v>
      </c>
      <c r="D256" t="s">
        <v>66</v>
      </c>
      <c r="E256" t="s">
        <v>43</v>
      </c>
      <c r="F256" t="s">
        <v>63</v>
      </c>
      <c r="G256">
        <v>26</v>
      </c>
      <c r="H256" t="s">
        <v>22</v>
      </c>
      <c r="I256" t="s">
        <v>48</v>
      </c>
      <c r="J256" s="2">
        <v>649</v>
      </c>
      <c r="K256" t="s">
        <v>40</v>
      </c>
      <c r="L256">
        <v>32</v>
      </c>
      <c r="M256" t="s">
        <v>31</v>
      </c>
      <c r="N256" t="s">
        <v>55</v>
      </c>
      <c r="O256">
        <v>42</v>
      </c>
      <c r="P256" t="s">
        <v>27</v>
      </c>
      <c r="Q256">
        <v>4</v>
      </c>
      <c r="R256" s="2">
        <v>649</v>
      </c>
      <c r="S256" t="str">
        <f t="shared" si="6"/>
        <v>Young Professionals</v>
      </c>
      <c r="T256" t="str">
        <f t="shared" si="7"/>
        <v>Regular Viewer</v>
      </c>
    </row>
    <row r="257" spans="1:20" x14ac:dyDescent="0.3">
      <c r="A257" t="s">
        <v>316</v>
      </c>
      <c r="B257" s="1">
        <v>44835</v>
      </c>
      <c r="C257">
        <v>2022</v>
      </c>
      <c r="D257" t="s">
        <v>47</v>
      </c>
      <c r="E257" t="s">
        <v>20</v>
      </c>
      <c r="F257" t="s">
        <v>21</v>
      </c>
      <c r="G257">
        <v>34</v>
      </c>
      <c r="H257" t="s">
        <v>36</v>
      </c>
      <c r="I257" t="s">
        <v>37</v>
      </c>
      <c r="J257" s="2">
        <v>199</v>
      </c>
      <c r="K257" t="s">
        <v>24</v>
      </c>
      <c r="L257">
        <v>29</v>
      </c>
      <c r="M257" t="s">
        <v>25</v>
      </c>
      <c r="N257" t="s">
        <v>55</v>
      </c>
      <c r="O257">
        <v>29</v>
      </c>
      <c r="P257" t="s">
        <v>27</v>
      </c>
      <c r="Q257">
        <v>5</v>
      </c>
      <c r="R257" s="2">
        <v>199</v>
      </c>
      <c r="S257" t="str">
        <f t="shared" si="6"/>
        <v>Young Professionals</v>
      </c>
      <c r="T257" t="str">
        <f t="shared" si="7"/>
        <v>Regular Viewer</v>
      </c>
    </row>
    <row r="258" spans="1:20" x14ac:dyDescent="0.3">
      <c r="A258" t="s">
        <v>317</v>
      </c>
      <c r="B258" s="1">
        <v>44676</v>
      </c>
      <c r="C258">
        <v>2022</v>
      </c>
      <c r="D258" t="s">
        <v>51</v>
      </c>
      <c r="E258" t="s">
        <v>43</v>
      </c>
      <c r="F258" t="s">
        <v>21</v>
      </c>
      <c r="G258">
        <v>30</v>
      </c>
      <c r="H258" t="s">
        <v>22</v>
      </c>
      <c r="I258" t="s">
        <v>23</v>
      </c>
      <c r="J258" s="2">
        <v>499</v>
      </c>
      <c r="K258" t="s">
        <v>53</v>
      </c>
      <c r="L258">
        <v>23</v>
      </c>
      <c r="M258" t="s">
        <v>45</v>
      </c>
      <c r="N258" t="s">
        <v>58</v>
      </c>
      <c r="O258">
        <v>21</v>
      </c>
      <c r="P258" t="s">
        <v>27</v>
      </c>
      <c r="Q258">
        <v>5</v>
      </c>
      <c r="R258" s="2">
        <v>499</v>
      </c>
      <c r="S258" t="str">
        <f t="shared" si="6"/>
        <v>Young Professionals</v>
      </c>
      <c r="T258" t="str">
        <f t="shared" si="7"/>
        <v>Regular Viewer</v>
      </c>
    </row>
    <row r="259" spans="1:20" x14ac:dyDescent="0.3">
      <c r="A259" t="s">
        <v>318</v>
      </c>
      <c r="B259" s="1">
        <v>45697</v>
      </c>
      <c r="C259">
        <v>2025</v>
      </c>
      <c r="D259" t="s">
        <v>111</v>
      </c>
      <c r="E259" t="s">
        <v>20</v>
      </c>
      <c r="F259" t="s">
        <v>21</v>
      </c>
      <c r="G259">
        <v>18</v>
      </c>
      <c r="H259" t="s">
        <v>36</v>
      </c>
      <c r="I259" t="s">
        <v>37</v>
      </c>
      <c r="J259" s="2">
        <v>199</v>
      </c>
      <c r="K259" t="s">
        <v>49</v>
      </c>
      <c r="L259">
        <v>31</v>
      </c>
      <c r="M259" t="s">
        <v>31</v>
      </c>
      <c r="N259" t="s">
        <v>32</v>
      </c>
      <c r="O259">
        <v>30</v>
      </c>
      <c r="P259" t="s">
        <v>73</v>
      </c>
      <c r="Q259">
        <v>3</v>
      </c>
      <c r="R259" s="2">
        <v>0</v>
      </c>
      <c r="S259" t="str">
        <f t="shared" ref="S259:S322" si="8">IF(G259&lt;=24,"Genz viewer",IF(G259&lt;=34,"Young Professionals",IF(G259&lt;=44,"mid career adult",IF(G259&lt;=54,"Mature viewer","senior viewer"))))</f>
        <v>Genz viewer</v>
      </c>
      <c r="T259" t="str">
        <f t="shared" ref="T259:T322" si="9">IF(L259&lt;=20,"Casual Viewer",IF(L259&lt;=35,"Regular Viewer", IF(L259&lt;=50,"Engaged Viewer","Binge watcher")))</f>
        <v>Regular Viewer</v>
      </c>
    </row>
    <row r="260" spans="1:20" x14ac:dyDescent="0.3">
      <c r="A260" t="s">
        <v>319</v>
      </c>
      <c r="B260" s="1">
        <v>45390</v>
      </c>
      <c r="C260">
        <v>2024</v>
      </c>
      <c r="D260" t="s">
        <v>51</v>
      </c>
      <c r="E260" t="s">
        <v>52</v>
      </c>
      <c r="F260" t="s">
        <v>29</v>
      </c>
      <c r="G260">
        <v>39</v>
      </c>
      <c r="H260" t="s">
        <v>36</v>
      </c>
      <c r="I260" t="s">
        <v>37</v>
      </c>
      <c r="J260" s="2">
        <v>199</v>
      </c>
      <c r="K260" t="s">
        <v>75</v>
      </c>
      <c r="L260">
        <v>32</v>
      </c>
      <c r="M260" t="s">
        <v>45</v>
      </c>
      <c r="N260" t="s">
        <v>32</v>
      </c>
      <c r="O260">
        <v>39</v>
      </c>
      <c r="P260" t="s">
        <v>73</v>
      </c>
      <c r="Q260">
        <v>2</v>
      </c>
      <c r="R260" s="2">
        <v>0</v>
      </c>
      <c r="S260" t="str">
        <f t="shared" si="8"/>
        <v>mid career adult</v>
      </c>
      <c r="T260" t="str">
        <f t="shared" si="9"/>
        <v>Regular Viewer</v>
      </c>
    </row>
    <row r="261" spans="1:20" x14ac:dyDescent="0.3">
      <c r="A261" t="s">
        <v>320</v>
      </c>
      <c r="B261" s="1">
        <v>44975</v>
      </c>
      <c r="C261">
        <v>2023</v>
      </c>
      <c r="D261" t="s">
        <v>111</v>
      </c>
      <c r="E261" t="s">
        <v>20</v>
      </c>
      <c r="F261" t="s">
        <v>63</v>
      </c>
      <c r="G261">
        <v>50</v>
      </c>
      <c r="H261" t="s">
        <v>22</v>
      </c>
      <c r="I261" t="s">
        <v>48</v>
      </c>
      <c r="J261" s="2">
        <v>649</v>
      </c>
      <c r="K261" t="s">
        <v>57</v>
      </c>
      <c r="L261">
        <v>45</v>
      </c>
      <c r="M261" t="s">
        <v>25</v>
      </c>
      <c r="N261" t="s">
        <v>58</v>
      </c>
      <c r="O261">
        <v>32</v>
      </c>
      <c r="P261" t="s">
        <v>27</v>
      </c>
      <c r="Q261">
        <v>5</v>
      </c>
      <c r="R261" s="2">
        <v>649</v>
      </c>
      <c r="S261" t="str">
        <f t="shared" si="8"/>
        <v>Mature viewer</v>
      </c>
      <c r="T261" t="str">
        <f t="shared" si="9"/>
        <v>Engaged Viewer</v>
      </c>
    </row>
    <row r="262" spans="1:20" x14ac:dyDescent="0.3">
      <c r="A262" t="s">
        <v>321</v>
      </c>
      <c r="B262" s="1">
        <v>45646</v>
      </c>
      <c r="C262">
        <v>2024</v>
      </c>
      <c r="D262" t="s">
        <v>39</v>
      </c>
      <c r="E262" t="s">
        <v>35</v>
      </c>
      <c r="F262" t="s">
        <v>29</v>
      </c>
      <c r="G262">
        <v>28</v>
      </c>
      <c r="H262" t="s">
        <v>22</v>
      </c>
      <c r="I262" t="s">
        <v>37</v>
      </c>
      <c r="J262" s="2">
        <v>199</v>
      </c>
      <c r="K262" t="s">
        <v>57</v>
      </c>
      <c r="L262">
        <v>44</v>
      </c>
      <c r="M262" t="s">
        <v>31</v>
      </c>
      <c r="N262" t="s">
        <v>32</v>
      </c>
      <c r="O262">
        <v>47</v>
      </c>
      <c r="P262" t="s">
        <v>27</v>
      </c>
      <c r="Q262">
        <v>4</v>
      </c>
      <c r="R262" s="2">
        <v>199</v>
      </c>
      <c r="S262" t="str">
        <f t="shared" si="8"/>
        <v>Young Professionals</v>
      </c>
      <c r="T262" t="str">
        <f t="shared" si="9"/>
        <v>Engaged Viewer</v>
      </c>
    </row>
    <row r="263" spans="1:20" x14ac:dyDescent="0.3">
      <c r="A263" t="s">
        <v>322</v>
      </c>
      <c r="B263" s="1">
        <v>45994</v>
      </c>
      <c r="C263">
        <v>2025</v>
      </c>
      <c r="D263" t="s">
        <v>39</v>
      </c>
      <c r="E263" t="s">
        <v>20</v>
      </c>
      <c r="F263" t="s">
        <v>63</v>
      </c>
      <c r="G263">
        <v>39</v>
      </c>
      <c r="H263" t="s">
        <v>22</v>
      </c>
      <c r="I263" t="s">
        <v>37</v>
      </c>
      <c r="J263" s="2">
        <v>199</v>
      </c>
      <c r="K263" t="s">
        <v>49</v>
      </c>
      <c r="L263">
        <v>43</v>
      </c>
      <c r="M263" t="s">
        <v>41</v>
      </c>
      <c r="N263" t="s">
        <v>58</v>
      </c>
      <c r="O263">
        <v>31</v>
      </c>
      <c r="P263" t="s">
        <v>27</v>
      </c>
      <c r="Q263">
        <v>4</v>
      </c>
      <c r="R263" s="2">
        <v>199</v>
      </c>
      <c r="S263" t="str">
        <f t="shared" si="8"/>
        <v>mid career adult</v>
      </c>
      <c r="T263" t="str">
        <f t="shared" si="9"/>
        <v>Engaged Viewer</v>
      </c>
    </row>
    <row r="264" spans="1:20" x14ac:dyDescent="0.3">
      <c r="A264" t="s">
        <v>323</v>
      </c>
      <c r="B264" s="1">
        <v>44661</v>
      </c>
      <c r="C264">
        <v>2022</v>
      </c>
      <c r="D264" t="s">
        <v>51</v>
      </c>
      <c r="E264" t="s">
        <v>43</v>
      </c>
      <c r="F264" t="s">
        <v>21</v>
      </c>
      <c r="G264">
        <v>32</v>
      </c>
      <c r="H264" t="s">
        <v>22</v>
      </c>
      <c r="I264" t="s">
        <v>23</v>
      </c>
      <c r="J264" s="2">
        <v>499</v>
      </c>
      <c r="K264" t="s">
        <v>57</v>
      </c>
      <c r="L264">
        <v>25</v>
      </c>
      <c r="M264" t="s">
        <v>31</v>
      </c>
      <c r="N264" t="s">
        <v>26</v>
      </c>
      <c r="O264">
        <v>3</v>
      </c>
      <c r="P264" t="s">
        <v>27</v>
      </c>
      <c r="Q264">
        <v>5</v>
      </c>
      <c r="R264" s="2">
        <v>499</v>
      </c>
      <c r="S264" t="str">
        <f t="shared" si="8"/>
        <v>Young Professionals</v>
      </c>
      <c r="T264" t="str">
        <f t="shared" si="9"/>
        <v>Regular Viewer</v>
      </c>
    </row>
    <row r="265" spans="1:20" x14ac:dyDescent="0.3">
      <c r="A265" t="s">
        <v>324</v>
      </c>
      <c r="B265" s="1">
        <v>45226</v>
      </c>
      <c r="C265">
        <v>2023</v>
      </c>
      <c r="D265" t="s">
        <v>47</v>
      </c>
      <c r="E265" t="s">
        <v>52</v>
      </c>
      <c r="F265" t="s">
        <v>29</v>
      </c>
      <c r="G265">
        <v>24</v>
      </c>
      <c r="H265" t="s">
        <v>22</v>
      </c>
      <c r="I265" t="s">
        <v>37</v>
      </c>
      <c r="J265" s="2">
        <v>199</v>
      </c>
      <c r="K265" t="s">
        <v>40</v>
      </c>
      <c r="L265">
        <v>32</v>
      </c>
      <c r="M265" t="s">
        <v>41</v>
      </c>
      <c r="N265" t="s">
        <v>32</v>
      </c>
      <c r="O265">
        <v>22</v>
      </c>
      <c r="P265" t="s">
        <v>27</v>
      </c>
      <c r="Q265">
        <v>5</v>
      </c>
      <c r="R265" s="2">
        <v>199</v>
      </c>
      <c r="S265" t="str">
        <f t="shared" si="8"/>
        <v>Genz viewer</v>
      </c>
      <c r="T265" t="str">
        <f t="shared" si="9"/>
        <v>Regular Viewer</v>
      </c>
    </row>
    <row r="266" spans="1:20" x14ac:dyDescent="0.3">
      <c r="A266" t="s">
        <v>325</v>
      </c>
      <c r="B266" s="1">
        <v>45204</v>
      </c>
      <c r="C266">
        <v>2023</v>
      </c>
      <c r="D266" t="s">
        <v>47</v>
      </c>
      <c r="E266" t="s">
        <v>52</v>
      </c>
      <c r="F266" t="s">
        <v>21</v>
      </c>
      <c r="G266">
        <v>28</v>
      </c>
      <c r="H266" t="s">
        <v>22</v>
      </c>
      <c r="I266" t="s">
        <v>23</v>
      </c>
      <c r="J266" s="2">
        <v>499</v>
      </c>
      <c r="K266" t="s">
        <v>49</v>
      </c>
      <c r="L266">
        <v>25</v>
      </c>
      <c r="M266" t="s">
        <v>41</v>
      </c>
      <c r="N266" t="s">
        <v>58</v>
      </c>
      <c r="O266">
        <v>33</v>
      </c>
      <c r="P266" t="s">
        <v>27</v>
      </c>
      <c r="Q266">
        <v>5</v>
      </c>
      <c r="R266" s="2">
        <v>499</v>
      </c>
      <c r="S266" t="str">
        <f t="shared" si="8"/>
        <v>Young Professionals</v>
      </c>
      <c r="T266" t="str">
        <f t="shared" si="9"/>
        <v>Regular Viewer</v>
      </c>
    </row>
    <row r="267" spans="1:20" x14ac:dyDescent="0.3">
      <c r="A267" t="s">
        <v>326</v>
      </c>
      <c r="B267" s="1">
        <v>45767</v>
      </c>
      <c r="C267">
        <v>2025</v>
      </c>
      <c r="D267" t="s">
        <v>51</v>
      </c>
      <c r="E267" t="s">
        <v>20</v>
      </c>
      <c r="F267" t="s">
        <v>21</v>
      </c>
      <c r="G267">
        <v>48</v>
      </c>
      <c r="H267" t="s">
        <v>22</v>
      </c>
      <c r="I267" t="s">
        <v>23</v>
      </c>
      <c r="J267" s="2">
        <v>499</v>
      </c>
      <c r="K267" t="s">
        <v>49</v>
      </c>
      <c r="L267">
        <v>40</v>
      </c>
      <c r="M267" t="s">
        <v>41</v>
      </c>
      <c r="N267" t="s">
        <v>55</v>
      </c>
      <c r="O267">
        <v>1</v>
      </c>
      <c r="P267" t="s">
        <v>27</v>
      </c>
      <c r="Q267">
        <v>3</v>
      </c>
      <c r="R267" s="2">
        <v>499</v>
      </c>
      <c r="S267" t="str">
        <f t="shared" si="8"/>
        <v>Mature viewer</v>
      </c>
      <c r="T267" t="str">
        <f t="shared" si="9"/>
        <v>Engaged Viewer</v>
      </c>
    </row>
    <row r="268" spans="1:20" x14ac:dyDescent="0.3">
      <c r="A268" t="s">
        <v>327</v>
      </c>
      <c r="B268" s="1">
        <v>45105</v>
      </c>
      <c r="C268">
        <v>2023</v>
      </c>
      <c r="D268" t="s">
        <v>69</v>
      </c>
      <c r="E268" t="s">
        <v>43</v>
      </c>
      <c r="F268" t="s">
        <v>29</v>
      </c>
      <c r="G268">
        <v>34</v>
      </c>
      <c r="H268" t="s">
        <v>22</v>
      </c>
      <c r="I268" t="s">
        <v>37</v>
      </c>
      <c r="J268" s="2">
        <v>199</v>
      </c>
      <c r="K268" t="s">
        <v>24</v>
      </c>
      <c r="L268">
        <v>25</v>
      </c>
      <c r="M268" t="s">
        <v>45</v>
      </c>
      <c r="N268" t="s">
        <v>58</v>
      </c>
      <c r="O268">
        <v>17</v>
      </c>
      <c r="P268" t="s">
        <v>27</v>
      </c>
      <c r="Q268">
        <v>5</v>
      </c>
      <c r="R268" s="2">
        <v>199</v>
      </c>
      <c r="S268" t="str">
        <f t="shared" si="8"/>
        <v>Young Professionals</v>
      </c>
      <c r="T268" t="str">
        <f t="shared" si="9"/>
        <v>Regular Viewer</v>
      </c>
    </row>
    <row r="269" spans="1:20" x14ac:dyDescent="0.3">
      <c r="A269" t="s">
        <v>328</v>
      </c>
      <c r="B269" s="1">
        <v>45470</v>
      </c>
      <c r="C269">
        <v>2024</v>
      </c>
      <c r="D269" t="s">
        <v>69</v>
      </c>
      <c r="E269" t="s">
        <v>52</v>
      </c>
      <c r="F269" t="s">
        <v>63</v>
      </c>
      <c r="G269">
        <v>43</v>
      </c>
      <c r="H269" t="s">
        <v>22</v>
      </c>
      <c r="I269" t="s">
        <v>23</v>
      </c>
      <c r="J269" s="2">
        <v>499</v>
      </c>
      <c r="K269" t="s">
        <v>57</v>
      </c>
      <c r="L269">
        <v>30</v>
      </c>
      <c r="M269" t="s">
        <v>25</v>
      </c>
      <c r="N269" t="s">
        <v>32</v>
      </c>
      <c r="O269">
        <v>26</v>
      </c>
      <c r="P269" t="s">
        <v>27</v>
      </c>
      <c r="Q269">
        <v>3</v>
      </c>
      <c r="R269" s="2">
        <v>499</v>
      </c>
      <c r="S269" t="str">
        <f t="shared" si="8"/>
        <v>mid career adult</v>
      </c>
      <c r="T269" t="str">
        <f t="shared" si="9"/>
        <v>Regular Viewer</v>
      </c>
    </row>
    <row r="270" spans="1:20" x14ac:dyDescent="0.3">
      <c r="A270" t="s">
        <v>329</v>
      </c>
      <c r="B270" s="1">
        <v>45859</v>
      </c>
      <c r="C270">
        <v>2025</v>
      </c>
      <c r="D270" t="s">
        <v>85</v>
      </c>
      <c r="E270" t="s">
        <v>20</v>
      </c>
      <c r="F270" t="s">
        <v>29</v>
      </c>
      <c r="G270">
        <v>42</v>
      </c>
      <c r="H270" t="s">
        <v>36</v>
      </c>
      <c r="I270" t="s">
        <v>23</v>
      </c>
      <c r="J270" s="2">
        <v>499</v>
      </c>
      <c r="K270" t="s">
        <v>40</v>
      </c>
      <c r="L270">
        <v>47</v>
      </c>
      <c r="M270" t="s">
        <v>41</v>
      </c>
      <c r="N270" t="s">
        <v>26</v>
      </c>
      <c r="O270">
        <v>43</v>
      </c>
      <c r="P270" t="s">
        <v>27</v>
      </c>
      <c r="Q270">
        <v>4</v>
      </c>
      <c r="R270" s="2">
        <v>499</v>
      </c>
      <c r="S270" t="str">
        <f t="shared" si="8"/>
        <v>mid career adult</v>
      </c>
      <c r="T270" t="str">
        <f t="shared" si="9"/>
        <v>Engaged Viewer</v>
      </c>
    </row>
    <row r="271" spans="1:20" x14ac:dyDescent="0.3">
      <c r="A271" t="s">
        <v>330</v>
      </c>
      <c r="B271" s="1">
        <v>45515</v>
      </c>
      <c r="C271">
        <v>2024</v>
      </c>
      <c r="D271" t="s">
        <v>34</v>
      </c>
      <c r="E271" t="s">
        <v>20</v>
      </c>
      <c r="F271" t="s">
        <v>63</v>
      </c>
      <c r="G271">
        <v>55</v>
      </c>
      <c r="H271" t="s">
        <v>22</v>
      </c>
      <c r="I271" t="s">
        <v>48</v>
      </c>
      <c r="J271" s="2">
        <v>649</v>
      </c>
      <c r="K271" t="s">
        <v>49</v>
      </c>
      <c r="L271">
        <v>60</v>
      </c>
      <c r="M271" t="s">
        <v>41</v>
      </c>
      <c r="N271" t="s">
        <v>55</v>
      </c>
      <c r="O271">
        <v>42</v>
      </c>
      <c r="P271" t="s">
        <v>27</v>
      </c>
      <c r="Q271">
        <v>3</v>
      </c>
      <c r="R271" s="2">
        <v>649</v>
      </c>
      <c r="S271" t="str">
        <f t="shared" si="8"/>
        <v>senior viewer</v>
      </c>
      <c r="T271" t="str">
        <f t="shared" si="9"/>
        <v>Binge watcher</v>
      </c>
    </row>
    <row r="272" spans="1:20" x14ac:dyDescent="0.3">
      <c r="A272" t="s">
        <v>331</v>
      </c>
      <c r="B272" s="1">
        <v>45724</v>
      </c>
      <c r="C272">
        <v>2025</v>
      </c>
      <c r="D272" t="s">
        <v>66</v>
      </c>
      <c r="E272" t="s">
        <v>52</v>
      </c>
      <c r="F272" t="s">
        <v>63</v>
      </c>
      <c r="G272">
        <v>32</v>
      </c>
      <c r="H272" t="s">
        <v>36</v>
      </c>
      <c r="I272" t="s">
        <v>37</v>
      </c>
      <c r="J272" s="2">
        <v>199</v>
      </c>
      <c r="K272" t="s">
        <v>67</v>
      </c>
      <c r="L272">
        <v>52</v>
      </c>
      <c r="M272" t="s">
        <v>45</v>
      </c>
      <c r="N272" t="s">
        <v>58</v>
      </c>
      <c r="O272">
        <v>2</v>
      </c>
      <c r="P272" t="s">
        <v>27</v>
      </c>
      <c r="Q272">
        <v>5</v>
      </c>
      <c r="R272" s="2">
        <v>199</v>
      </c>
      <c r="S272" t="str">
        <f t="shared" si="8"/>
        <v>Young Professionals</v>
      </c>
      <c r="T272" t="str">
        <f t="shared" si="9"/>
        <v>Binge watcher</v>
      </c>
    </row>
    <row r="273" spans="1:20" x14ac:dyDescent="0.3">
      <c r="A273" t="s">
        <v>332</v>
      </c>
      <c r="B273" s="1">
        <v>46021</v>
      </c>
      <c r="C273">
        <v>2025</v>
      </c>
      <c r="D273" t="s">
        <v>39</v>
      </c>
      <c r="E273" t="s">
        <v>43</v>
      </c>
      <c r="F273" t="s">
        <v>63</v>
      </c>
      <c r="G273">
        <v>29</v>
      </c>
      <c r="H273" t="s">
        <v>36</v>
      </c>
      <c r="I273" t="s">
        <v>23</v>
      </c>
      <c r="J273" s="2">
        <v>499</v>
      </c>
      <c r="K273" t="s">
        <v>67</v>
      </c>
      <c r="L273">
        <v>46</v>
      </c>
      <c r="M273" t="s">
        <v>31</v>
      </c>
      <c r="N273" t="s">
        <v>58</v>
      </c>
      <c r="O273">
        <v>8</v>
      </c>
      <c r="P273" t="s">
        <v>27</v>
      </c>
      <c r="Q273">
        <v>5</v>
      </c>
      <c r="R273" s="2">
        <v>499</v>
      </c>
      <c r="S273" t="str">
        <f t="shared" si="8"/>
        <v>Young Professionals</v>
      </c>
      <c r="T273" t="str">
        <f t="shared" si="9"/>
        <v>Engaged Viewer</v>
      </c>
    </row>
    <row r="274" spans="1:20" x14ac:dyDescent="0.3">
      <c r="A274" t="s">
        <v>333</v>
      </c>
      <c r="B274" s="1">
        <v>45291</v>
      </c>
      <c r="C274">
        <v>2023</v>
      </c>
      <c r="D274" t="s">
        <v>39</v>
      </c>
      <c r="E274" t="s">
        <v>43</v>
      </c>
      <c r="F274" t="s">
        <v>21</v>
      </c>
      <c r="G274">
        <v>38</v>
      </c>
      <c r="H274" t="s">
        <v>36</v>
      </c>
      <c r="I274" t="s">
        <v>37</v>
      </c>
      <c r="J274" s="2">
        <v>199</v>
      </c>
      <c r="K274" t="s">
        <v>49</v>
      </c>
      <c r="L274">
        <v>27</v>
      </c>
      <c r="M274" t="s">
        <v>31</v>
      </c>
      <c r="N274" t="s">
        <v>32</v>
      </c>
      <c r="O274">
        <v>11</v>
      </c>
      <c r="P274" t="s">
        <v>27</v>
      </c>
      <c r="Q274">
        <v>4</v>
      </c>
      <c r="R274" s="2">
        <v>199</v>
      </c>
      <c r="S274" t="str">
        <f t="shared" si="8"/>
        <v>mid career adult</v>
      </c>
      <c r="T274" t="str">
        <f t="shared" si="9"/>
        <v>Regular Viewer</v>
      </c>
    </row>
    <row r="275" spans="1:20" x14ac:dyDescent="0.3">
      <c r="A275" t="s">
        <v>334</v>
      </c>
      <c r="B275" s="1">
        <v>44896</v>
      </c>
      <c r="C275">
        <v>2022</v>
      </c>
      <c r="D275" t="s">
        <v>39</v>
      </c>
      <c r="E275" t="s">
        <v>52</v>
      </c>
      <c r="F275" t="s">
        <v>21</v>
      </c>
      <c r="G275">
        <v>40</v>
      </c>
      <c r="H275" t="s">
        <v>22</v>
      </c>
      <c r="I275" t="s">
        <v>48</v>
      </c>
      <c r="J275" s="2">
        <v>649</v>
      </c>
      <c r="K275" t="s">
        <v>30</v>
      </c>
      <c r="L275">
        <v>30</v>
      </c>
      <c r="M275" t="s">
        <v>31</v>
      </c>
      <c r="N275" t="s">
        <v>32</v>
      </c>
      <c r="O275">
        <v>19</v>
      </c>
      <c r="P275" t="s">
        <v>27</v>
      </c>
      <c r="Q275">
        <v>5</v>
      </c>
      <c r="R275" s="2">
        <v>649</v>
      </c>
      <c r="S275" t="str">
        <f t="shared" si="8"/>
        <v>mid career adult</v>
      </c>
      <c r="T275" t="str">
        <f t="shared" si="9"/>
        <v>Regular Viewer</v>
      </c>
    </row>
    <row r="276" spans="1:20" x14ac:dyDescent="0.3">
      <c r="A276" t="s">
        <v>335</v>
      </c>
      <c r="B276" s="1">
        <v>45528</v>
      </c>
      <c r="C276">
        <v>2024</v>
      </c>
      <c r="D276" t="s">
        <v>34</v>
      </c>
      <c r="E276" t="s">
        <v>35</v>
      </c>
      <c r="F276" t="s">
        <v>21</v>
      </c>
      <c r="G276">
        <v>46</v>
      </c>
      <c r="H276" t="s">
        <v>36</v>
      </c>
      <c r="I276" t="s">
        <v>23</v>
      </c>
      <c r="J276" s="2">
        <v>499</v>
      </c>
      <c r="K276" t="s">
        <v>75</v>
      </c>
      <c r="L276">
        <v>33</v>
      </c>
      <c r="M276" t="s">
        <v>31</v>
      </c>
      <c r="N276" t="s">
        <v>55</v>
      </c>
      <c r="O276">
        <v>38</v>
      </c>
      <c r="P276" t="s">
        <v>27</v>
      </c>
      <c r="Q276">
        <v>5</v>
      </c>
      <c r="R276" s="2">
        <v>499</v>
      </c>
      <c r="S276" t="str">
        <f t="shared" si="8"/>
        <v>Mature viewer</v>
      </c>
      <c r="T276" t="str">
        <f t="shared" si="9"/>
        <v>Regular Viewer</v>
      </c>
    </row>
    <row r="277" spans="1:20" x14ac:dyDescent="0.3">
      <c r="A277" t="s">
        <v>336</v>
      </c>
      <c r="B277" s="1">
        <v>44949</v>
      </c>
      <c r="C277">
        <v>2023</v>
      </c>
      <c r="D277" t="s">
        <v>62</v>
      </c>
      <c r="E277" t="s">
        <v>43</v>
      </c>
      <c r="F277" t="s">
        <v>21</v>
      </c>
      <c r="G277">
        <v>31</v>
      </c>
      <c r="H277" t="s">
        <v>36</v>
      </c>
      <c r="I277" t="s">
        <v>23</v>
      </c>
      <c r="J277" s="2">
        <v>499</v>
      </c>
      <c r="K277" t="s">
        <v>75</v>
      </c>
      <c r="L277">
        <v>35</v>
      </c>
      <c r="M277" t="s">
        <v>45</v>
      </c>
      <c r="N277" t="s">
        <v>26</v>
      </c>
      <c r="O277">
        <v>26</v>
      </c>
      <c r="P277" t="s">
        <v>27</v>
      </c>
      <c r="Q277">
        <v>5</v>
      </c>
      <c r="R277" s="2">
        <v>499</v>
      </c>
      <c r="S277" t="str">
        <f t="shared" si="8"/>
        <v>Young Professionals</v>
      </c>
      <c r="T277" t="str">
        <f t="shared" si="9"/>
        <v>Regular Viewer</v>
      </c>
    </row>
    <row r="278" spans="1:20" x14ac:dyDescent="0.3">
      <c r="A278" t="s">
        <v>337</v>
      </c>
      <c r="B278" s="1">
        <v>45467</v>
      </c>
      <c r="C278">
        <v>2024</v>
      </c>
      <c r="D278" t="s">
        <v>69</v>
      </c>
      <c r="E278" t="s">
        <v>43</v>
      </c>
      <c r="F278" t="s">
        <v>21</v>
      </c>
      <c r="G278">
        <v>20</v>
      </c>
      <c r="H278" t="s">
        <v>36</v>
      </c>
      <c r="I278" t="s">
        <v>23</v>
      </c>
      <c r="J278" s="2">
        <v>499</v>
      </c>
      <c r="K278" t="s">
        <v>57</v>
      </c>
      <c r="L278">
        <v>33</v>
      </c>
      <c r="M278" t="s">
        <v>45</v>
      </c>
      <c r="N278" t="s">
        <v>26</v>
      </c>
      <c r="O278">
        <v>42</v>
      </c>
      <c r="P278" t="s">
        <v>27</v>
      </c>
      <c r="Q278">
        <v>5</v>
      </c>
      <c r="R278" s="2">
        <v>499</v>
      </c>
      <c r="S278" t="str">
        <f t="shared" si="8"/>
        <v>Genz viewer</v>
      </c>
      <c r="T278" t="str">
        <f t="shared" si="9"/>
        <v>Regular Viewer</v>
      </c>
    </row>
    <row r="279" spans="1:20" x14ac:dyDescent="0.3">
      <c r="A279" t="s">
        <v>338</v>
      </c>
      <c r="B279" s="1">
        <v>45922</v>
      </c>
      <c r="C279">
        <v>2025</v>
      </c>
      <c r="D279" t="s">
        <v>60</v>
      </c>
      <c r="E279" t="s">
        <v>20</v>
      </c>
      <c r="F279" t="s">
        <v>21</v>
      </c>
      <c r="G279">
        <v>21</v>
      </c>
      <c r="H279" t="s">
        <v>36</v>
      </c>
      <c r="I279" t="s">
        <v>23</v>
      </c>
      <c r="J279" s="2">
        <v>499</v>
      </c>
      <c r="K279" t="s">
        <v>57</v>
      </c>
      <c r="L279">
        <v>56</v>
      </c>
      <c r="M279" t="s">
        <v>31</v>
      </c>
      <c r="N279" t="s">
        <v>32</v>
      </c>
      <c r="O279">
        <v>44</v>
      </c>
      <c r="P279" t="s">
        <v>27</v>
      </c>
      <c r="Q279">
        <v>4</v>
      </c>
      <c r="R279" s="2">
        <v>499</v>
      </c>
      <c r="S279" t="str">
        <f t="shared" si="8"/>
        <v>Genz viewer</v>
      </c>
      <c r="T279" t="str">
        <f t="shared" si="9"/>
        <v>Binge watcher</v>
      </c>
    </row>
    <row r="280" spans="1:20" x14ac:dyDescent="0.3">
      <c r="A280" t="s">
        <v>339</v>
      </c>
      <c r="B280" s="1">
        <v>44882</v>
      </c>
      <c r="C280">
        <v>2022</v>
      </c>
      <c r="D280" t="s">
        <v>19</v>
      </c>
      <c r="E280" t="s">
        <v>52</v>
      </c>
      <c r="F280" t="s">
        <v>63</v>
      </c>
      <c r="G280">
        <v>49</v>
      </c>
      <c r="H280" t="s">
        <v>22</v>
      </c>
      <c r="I280" t="s">
        <v>23</v>
      </c>
      <c r="J280" s="2">
        <v>499</v>
      </c>
      <c r="K280" t="s">
        <v>67</v>
      </c>
      <c r="L280">
        <v>33</v>
      </c>
      <c r="M280" t="s">
        <v>45</v>
      </c>
      <c r="N280" t="s">
        <v>32</v>
      </c>
      <c r="O280">
        <v>7</v>
      </c>
      <c r="P280" t="s">
        <v>27</v>
      </c>
      <c r="Q280">
        <v>3</v>
      </c>
      <c r="R280" s="2">
        <v>499</v>
      </c>
      <c r="S280" t="str">
        <f t="shared" si="8"/>
        <v>Mature viewer</v>
      </c>
      <c r="T280" t="str">
        <f t="shared" si="9"/>
        <v>Regular Viewer</v>
      </c>
    </row>
    <row r="281" spans="1:20" x14ac:dyDescent="0.3">
      <c r="A281" t="s">
        <v>340</v>
      </c>
      <c r="B281" s="1">
        <v>45265</v>
      </c>
      <c r="C281">
        <v>2023</v>
      </c>
      <c r="D281" t="s">
        <v>39</v>
      </c>
      <c r="E281" t="s">
        <v>20</v>
      </c>
      <c r="F281" t="s">
        <v>21</v>
      </c>
      <c r="G281">
        <v>19</v>
      </c>
      <c r="H281" t="s">
        <v>36</v>
      </c>
      <c r="I281" t="s">
        <v>23</v>
      </c>
      <c r="J281" s="2">
        <v>499</v>
      </c>
      <c r="K281" t="s">
        <v>44</v>
      </c>
      <c r="L281">
        <v>20</v>
      </c>
      <c r="M281" t="s">
        <v>31</v>
      </c>
      <c r="N281" t="s">
        <v>58</v>
      </c>
      <c r="O281">
        <v>16</v>
      </c>
      <c r="P281" t="s">
        <v>27</v>
      </c>
      <c r="Q281">
        <v>3</v>
      </c>
      <c r="R281" s="2">
        <v>499</v>
      </c>
      <c r="S281" t="str">
        <f t="shared" si="8"/>
        <v>Genz viewer</v>
      </c>
      <c r="T281" t="str">
        <f t="shared" si="9"/>
        <v>Casual Viewer</v>
      </c>
    </row>
    <row r="282" spans="1:20" x14ac:dyDescent="0.3">
      <c r="A282" t="s">
        <v>341</v>
      </c>
      <c r="B282" s="1">
        <v>45611</v>
      </c>
      <c r="C282">
        <v>2024</v>
      </c>
      <c r="D282" t="s">
        <v>19</v>
      </c>
      <c r="E282" t="s">
        <v>43</v>
      </c>
      <c r="F282" t="s">
        <v>63</v>
      </c>
      <c r="G282">
        <v>19</v>
      </c>
      <c r="H282" t="s">
        <v>22</v>
      </c>
      <c r="I282" t="s">
        <v>37</v>
      </c>
      <c r="J282" s="2">
        <v>199</v>
      </c>
      <c r="K282" t="s">
        <v>44</v>
      </c>
      <c r="L282">
        <v>47</v>
      </c>
      <c r="M282" t="s">
        <v>31</v>
      </c>
      <c r="N282" t="s">
        <v>26</v>
      </c>
      <c r="O282">
        <v>5</v>
      </c>
      <c r="P282" t="s">
        <v>27</v>
      </c>
      <c r="Q282">
        <v>5</v>
      </c>
      <c r="R282" s="2">
        <v>199</v>
      </c>
      <c r="S282" t="str">
        <f t="shared" si="8"/>
        <v>Genz viewer</v>
      </c>
      <c r="T282" t="str">
        <f t="shared" si="9"/>
        <v>Engaged Viewer</v>
      </c>
    </row>
    <row r="283" spans="1:20" x14ac:dyDescent="0.3">
      <c r="A283" t="s">
        <v>342</v>
      </c>
      <c r="B283" s="1">
        <v>45816</v>
      </c>
      <c r="C283">
        <v>2025</v>
      </c>
      <c r="D283" t="s">
        <v>69</v>
      </c>
      <c r="E283" t="s">
        <v>20</v>
      </c>
      <c r="F283" t="s">
        <v>63</v>
      </c>
      <c r="G283">
        <v>49</v>
      </c>
      <c r="H283" t="s">
        <v>22</v>
      </c>
      <c r="I283" t="s">
        <v>37</v>
      </c>
      <c r="J283" s="2">
        <v>199</v>
      </c>
      <c r="K283" t="s">
        <v>40</v>
      </c>
      <c r="L283">
        <v>25</v>
      </c>
      <c r="M283" t="s">
        <v>25</v>
      </c>
      <c r="N283" t="s">
        <v>55</v>
      </c>
      <c r="O283">
        <v>6</v>
      </c>
      <c r="P283" t="s">
        <v>73</v>
      </c>
      <c r="Q283">
        <v>2</v>
      </c>
      <c r="R283" s="2">
        <v>0</v>
      </c>
      <c r="S283" t="str">
        <f t="shared" si="8"/>
        <v>Mature viewer</v>
      </c>
      <c r="T283" t="str">
        <f t="shared" si="9"/>
        <v>Regular Viewer</v>
      </c>
    </row>
    <row r="284" spans="1:20" x14ac:dyDescent="0.3">
      <c r="A284" t="s">
        <v>343</v>
      </c>
      <c r="B284" s="1">
        <v>45493</v>
      </c>
      <c r="C284">
        <v>2024</v>
      </c>
      <c r="D284" t="s">
        <v>85</v>
      </c>
      <c r="E284" t="s">
        <v>43</v>
      </c>
      <c r="F284" t="s">
        <v>21</v>
      </c>
      <c r="G284">
        <v>54</v>
      </c>
      <c r="H284" t="s">
        <v>36</v>
      </c>
      <c r="I284" t="s">
        <v>37</v>
      </c>
      <c r="J284" s="2">
        <v>199</v>
      </c>
      <c r="K284" t="s">
        <v>44</v>
      </c>
      <c r="L284">
        <v>42</v>
      </c>
      <c r="M284" t="s">
        <v>25</v>
      </c>
      <c r="N284" t="s">
        <v>55</v>
      </c>
      <c r="O284">
        <v>35</v>
      </c>
      <c r="P284" t="s">
        <v>27</v>
      </c>
      <c r="Q284">
        <v>3</v>
      </c>
      <c r="R284" s="2">
        <v>199</v>
      </c>
      <c r="S284" t="str">
        <f t="shared" si="8"/>
        <v>Mature viewer</v>
      </c>
      <c r="T284" t="str">
        <f t="shared" si="9"/>
        <v>Engaged Viewer</v>
      </c>
    </row>
    <row r="285" spans="1:20" x14ac:dyDescent="0.3">
      <c r="A285" t="s">
        <v>344</v>
      </c>
      <c r="B285" s="1">
        <v>45134</v>
      </c>
      <c r="C285">
        <v>2023</v>
      </c>
      <c r="D285" t="s">
        <v>85</v>
      </c>
      <c r="E285" t="s">
        <v>20</v>
      </c>
      <c r="F285" t="s">
        <v>29</v>
      </c>
      <c r="G285">
        <v>33</v>
      </c>
      <c r="H285" t="s">
        <v>22</v>
      </c>
      <c r="I285" t="s">
        <v>23</v>
      </c>
      <c r="J285" s="2">
        <v>499</v>
      </c>
      <c r="K285" t="s">
        <v>44</v>
      </c>
      <c r="L285">
        <v>25</v>
      </c>
      <c r="M285" t="s">
        <v>45</v>
      </c>
      <c r="N285" t="s">
        <v>32</v>
      </c>
      <c r="O285">
        <v>44</v>
      </c>
      <c r="P285" t="s">
        <v>27</v>
      </c>
      <c r="Q285">
        <v>3</v>
      </c>
      <c r="R285" s="2">
        <v>499</v>
      </c>
      <c r="S285" t="str">
        <f t="shared" si="8"/>
        <v>Young Professionals</v>
      </c>
      <c r="T285" t="str">
        <f t="shared" si="9"/>
        <v>Regular Viewer</v>
      </c>
    </row>
    <row r="286" spans="1:20" x14ac:dyDescent="0.3">
      <c r="A286" t="s">
        <v>345</v>
      </c>
      <c r="B286" s="1">
        <v>45840</v>
      </c>
      <c r="C286">
        <v>2025</v>
      </c>
      <c r="D286" t="s">
        <v>85</v>
      </c>
      <c r="E286" t="s">
        <v>43</v>
      </c>
      <c r="F286" t="s">
        <v>63</v>
      </c>
      <c r="G286">
        <v>28</v>
      </c>
      <c r="H286" t="s">
        <v>22</v>
      </c>
      <c r="I286" t="s">
        <v>37</v>
      </c>
      <c r="J286" s="2">
        <v>199</v>
      </c>
      <c r="K286" t="s">
        <v>75</v>
      </c>
      <c r="L286">
        <v>23</v>
      </c>
      <c r="M286" t="s">
        <v>25</v>
      </c>
      <c r="N286" t="s">
        <v>55</v>
      </c>
      <c r="O286">
        <v>13</v>
      </c>
      <c r="P286" t="s">
        <v>27</v>
      </c>
      <c r="Q286">
        <v>4</v>
      </c>
      <c r="R286" s="2">
        <v>199</v>
      </c>
      <c r="S286" t="str">
        <f t="shared" si="8"/>
        <v>Young Professionals</v>
      </c>
      <c r="T286" t="str">
        <f t="shared" si="9"/>
        <v>Regular Viewer</v>
      </c>
    </row>
    <row r="287" spans="1:20" x14ac:dyDescent="0.3">
      <c r="A287" t="s">
        <v>346</v>
      </c>
      <c r="B287" s="1">
        <v>44865</v>
      </c>
      <c r="C287">
        <v>2022</v>
      </c>
      <c r="D287" t="s">
        <v>47</v>
      </c>
      <c r="E287" t="s">
        <v>52</v>
      </c>
      <c r="F287" t="s">
        <v>29</v>
      </c>
      <c r="G287">
        <v>28</v>
      </c>
      <c r="H287" t="s">
        <v>22</v>
      </c>
      <c r="I287" t="s">
        <v>37</v>
      </c>
      <c r="J287" s="2">
        <v>199</v>
      </c>
      <c r="K287" t="s">
        <v>40</v>
      </c>
      <c r="L287">
        <v>56</v>
      </c>
      <c r="M287" t="s">
        <v>45</v>
      </c>
      <c r="N287" t="s">
        <v>55</v>
      </c>
      <c r="O287">
        <v>37</v>
      </c>
      <c r="P287" t="s">
        <v>27</v>
      </c>
      <c r="Q287">
        <v>4</v>
      </c>
      <c r="R287" s="2">
        <v>199</v>
      </c>
      <c r="S287" t="str">
        <f t="shared" si="8"/>
        <v>Young Professionals</v>
      </c>
      <c r="T287" t="str">
        <f t="shared" si="9"/>
        <v>Binge watcher</v>
      </c>
    </row>
    <row r="288" spans="1:20" x14ac:dyDescent="0.3">
      <c r="A288" t="s">
        <v>347</v>
      </c>
      <c r="B288" s="1">
        <v>45137</v>
      </c>
      <c r="C288">
        <v>2023</v>
      </c>
      <c r="D288" t="s">
        <v>85</v>
      </c>
      <c r="E288" t="s">
        <v>52</v>
      </c>
      <c r="F288" t="s">
        <v>63</v>
      </c>
      <c r="G288">
        <v>51</v>
      </c>
      <c r="H288" t="s">
        <v>36</v>
      </c>
      <c r="I288" t="s">
        <v>37</v>
      </c>
      <c r="J288" s="2">
        <v>199</v>
      </c>
      <c r="K288" t="s">
        <v>57</v>
      </c>
      <c r="L288">
        <v>59</v>
      </c>
      <c r="M288" t="s">
        <v>41</v>
      </c>
      <c r="N288" t="s">
        <v>26</v>
      </c>
      <c r="O288">
        <v>21</v>
      </c>
      <c r="P288" t="s">
        <v>27</v>
      </c>
      <c r="Q288">
        <v>5</v>
      </c>
      <c r="R288" s="2">
        <v>199</v>
      </c>
      <c r="S288" t="str">
        <f t="shared" si="8"/>
        <v>Mature viewer</v>
      </c>
      <c r="T288" t="str">
        <f t="shared" si="9"/>
        <v>Binge watcher</v>
      </c>
    </row>
    <row r="289" spans="1:20" x14ac:dyDescent="0.3">
      <c r="A289" t="s">
        <v>348</v>
      </c>
      <c r="B289" s="1">
        <v>45678</v>
      </c>
      <c r="C289">
        <v>2025</v>
      </c>
      <c r="D289" t="s">
        <v>62</v>
      </c>
      <c r="E289" t="s">
        <v>35</v>
      </c>
      <c r="F289" t="s">
        <v>29</v>
      </c>
      <c r="G289">
        <v>26</v>
      </c>
      <c r="H289" t="s">
        <v>22</v>
      </c>
      <c r="I289" t="s">
        <v>23</v>
      </c>
      <c r="J289" s="2">
        <v>499</v>
      </c>
      <c r="K289" t="s">
        <v>53</v>
      </c>
      <c r="L289">
        <v>48</v>
      </c>
      <c r="M289" t="s">
        <v>25</v>
      </c>
      <c r="N289" t="s">
        <v>58</v>
      </c>
      <c r="O289">
        <v>21</v>
      </c>
      <c r="P289" t="s">
        <v>27</v>
      </c>
      <c r="Q289">
        <v>4</v>
      </c>
      <c r="R289" s="2">
        <v>499</v>
      </c>
      <c r="S289" t="str">
        <f t="shared" si="8"/>
        <v>Young Professionals</v>
      </c>
      <c r="T289" t="str">
        <f t="shared" si="9"/>
        <v>Engaged Viewer</v>
      </c>
    </row>
    <row r="290" spans="1:20" x14ac:dyDescent="0.3">
      <c r="A290" t="s">
        <v>349</v>
      </c>
      <c r="B290" s="1">
        <v>44838</v>
      </c>
      <c r="C290">
        <v>2022</v>
      </c>
      <c r="D290" t="s">
        <v>47</v>
      </c>
      <c r="E290" t="s">
        <v>52</v>
      </c>
      <c r="F290" t="s">
        <v>29</v>
      </c>
      <c r="G290">
        <v>27</v>
      </c>
      <c r="H290" t="s">
        <v>22</v>
      </c>
      <c r="I290" t="s">
        <v>48</v>
      </c>
      <c r="J290" s="2">
        <v>649</v>
      </c>
      <c r="K290" t="s">
        <v>44</v>
      </c>
      <c r="L290">
        <v>42</v>
      </c>
      <c r="M290" t="s">
        <v>41</v>
      </c>
      <c r="N290" t="s">
        <v>32</v>
      </c>
      <c r="O290">
        <v>20</v>
      </c>
      <c r="P290" t="s">
        <v>27</v>
      </c>
      <c r="Q290">
        <v>3</v>
      </c>
      <c r="R290" s="2">
        <v>649</v>
      </c>
      <c r="S290" t="str">
        <f t="shared" si="8"/>
        <v>Young Professionals</v>
      </c>
      <c r="T290" t="str">
        <f t="shared" si="9"/>
        <v>Engaged Viewer</v>
      </c>
    </row>
    <row r="291" spans="1:20" x14ac:dyDescent="0.3">
      <c r="A291" t="s">
        <v>350</v>
      </c>
      <c r="B291" s="1">
        <v>44672</v>
      </c>
      <c r="C291">
        <v>2022</v>
      </c>
      <c r="D291" t="s">
        <v>51</v>
      </c>
      <c r="E291" t="s">
        <v>20</v>
      </c>
      <c r="F291" t="s">
        <v>21</v>
      </c>
      <c r="G291">
        <v>44</v>
      </c>
      <c r="H291" t="s">
        <v>36</v>
      </c>
      <c r="I291" t="s">
        <v>23</v>
      </c>
      <c r="J291" s="2">
        <v>499</v>
      </c>
      <c r="K291" t="s">
        <v>49</v>
      </c>
      <c r="L291">
        <v>21</v>
      </c>
      <c r="M291" t="s">
        <v>41</v>
      </c>
      <c r="N291" t="s">
        <v>26</v>
      </c>
      <c r="O291">
        <v>36</v>
      </c>
      <c r="P291" t="s">
        <v>27</v>
      </c>
      <c r="Q291">
        <v>4</v>
      </c>
      <c r="R291" s="2">
        <v>499</v>
      </c>
      <c r="S291" t="str">
        <f t="shared" si="8"/>
        <v>mid career adult</v>
      </c>
      <c r="T291" t="str">
        <f t="shared" si="9"/>
        <v>Regular Viewer</v>
      </c>
    </row>
    <row r="292" spans="1:20" x14ac:dyDescent="0.3">
      <c r="A292" t="s">
        <v>351</v>
      </c>
      <c r="B292" s="1">
        <v>45907</v>
      </c>
      <c r="C292">
        <v>2025</v>
      </c>
      <c r="D292" t="s">
        <v>60</v>
      </c>
      <c r="E292" t="s">
        <v>43</v>
      </c>
      <c r="F292" t="s">
        <v>29</v>
      </c>
      <c r="G292">
        <v>25</v>
      </c>
      <c r="H292" t="s">
        <v>36</v>
      </c>
      <c r="I292" t="s">
        <v>37</v>
      </c>
      <c r="J292" s="2">
        <v>199</v>
      </c>
      <c r="K292" t="s">
        <v>24</v>
      </c>
      <c r="L292">
        <v>52</v>
      </c>
      <c r="M292" t="s">
        <v>25</v>
      </c>
      <c r="N292" t="s">
        <v>58</v>
      </c>
      <c r="O292">
        <v>45</v>
      </c>
      <c r="P292" t="s">
        <v>27</v>
      </c>
      <c r="Q292">
        <v>3</v>
      </c>
      <c r="R292" s="2">
        <v>199</v>
      </c>
      <c r="S292" t="str">
        <f t="shared" si="8"/>
        <v>Young Professionals</v>
      </c>
      <c r="T292" t="str">
        <f t="shared" si="9"/>
        <v>Binge watcher</v>
      </c>
    </row>
    <row r="293" spans="1:20" x14ac:dyDescent="0.3">
      <c r="A293" t="s">
        <v>352</v>
      </c>
      <c r="B293" s="1">
        <v>45782</v>
      </c>
      <c r="C293">
        <v>2025</v>
      </c>
      <c r="D293" t="s">
        <v>79</v>
      </c>
      <c r="E293" t="s">
        <v>20</v>
      </c>
      <c r="F293" t="s">
        <v>29</v>
      </c>
      <c r="G293">
        <v>26</v>
      </c>
      <c r="H293" t="s">
        <v>22</v>
      </c>
      <c r="I293" t="s">
        <v>37</v>
      </c>
      <c r="J293" s="2">
        <v>199</v>
      </c>
      <c r="K293" t="s">
        <v>44</v>
      </c>
      <c r="L293">
        <v>44</v>
      </c>
      <c r="M293" t="s">
        <v>31</v>
      </c>
      <c r="N293" t="s">
        <v>26</v>
      </c>
      <c r="O293">
        <v>4</v>
      </c>
      <c r="P293" t="s">
        <v>27</v>
      </c>
      <c r="Q293">
        <v>4</v>
      </c>
      <c r="R293" s="2">
        <v>199</v>
      </c>
      <c r="S293" t="str">
        <f t="shared" si="8"/>
        <v>Young Professionals</v>
      </c>
      <c r="T293" t="str">
        <f t="shared" si="9"/>
        <v>Engaged Viewer</v>
      </c>
    </row>
    <row r="294" spans="1:20" x14ac:dyDescent="0.3">
      <c r="A294" t="s">
        <v>353</v>
      </c>
      <c r="B294" s="1">
        <v>45664</v>
      </c>
      <c r="C294">
        <v>2025</v>
      </c>
      <c r="D294" t="s">
        <v>62</v>
      </c>
      <c r="E294" t="s">
        <v>35</v>
      </c>
      <c r="F294" t="s">
        <v>21</v>
      </c>
      <c r="G294">
        <v>39</v>
      </c>
      <c r="H294" t="s">
        <v>36</v>
      </c>
      <c r="I294" t="s">
        <v>23</v>
      </c>
      <c r="J294" s="2">
        <v>499</v>
      </c>
      <c r="K294" t="s">
        <v>40</v>
      </c>
      <c r="L294">
        <v>27</v>
      </c>
      <c r="M294" t="s">
        <v>45</v>
      </c>
      <c r="N294" t="s">
        <v>26</v>
      </c>
      <c r="O294">
        <v>25</v>
      </c>
      <c r="P294" t="s">
        <v>27</v>
      </c>
      <c r="Q294">
        <v>3</v>
      </c>
      <c r="R294" s="2">
        <v>499</v>
      </c>
      <c r="S294" t="str">
        <f t="shared" si="8"/>
        <v>mid career adult</v>
      </c>
      <c r="T294" t="str">
        <f t="shared" si="9"/>
        <v>Regular Viewer</v>
      </c>
    </row>
    <row r="295" spans="1:20" x14ac:dyDescent="0.3">
      <c r="A295" t="s">
        <v>354</v>
      </c>
      <c r="B295" s="1">
        <v>45633</v>
      </c>
      <c r="C295">
        <v>2024</v>
      </c>
      <c r="D295" t="s">
        <v>39</v>
      </c>
      <c r="E295" t="s">
        <v>35</v>
      </c>
      <c r="F295" t="s">
        <v>21</v>
      </c>
      <c r="G295">
        <v>50</v>
      </c>
      <c r="H295" t="s">
        <v>36</v>
      </c>
      <c r="I295" t="s">
        <v>48</v>
      </c>
      <c r="J295" s="2">
        <v>649</v>
      </c>
      <c r="K295" t="s">
        <v>53</v>
      </c>
      <c r="L295">
        <v>29</v>
      </c>
      <c r="M295" t="s">
        <v>41</v>
      </c>
      <c r="N295" t="s">
        <v>58</v>
      </c>
      <c r="O295">
        <v>24</v>
      </c>
      <c r="P295" t="s">
        <v>27</v>
      </c>
      <c r="Q295">
        <v>4</v>
      </c>
      <c r="R295" s="2">
        <v>649</v>
      </c>
      <c r="S295" t="str">
        <f t="shared" si="8"/>
        <v>Mature viewer</v>
      </c>
      <c r="T295" t="str">
        <f t="shared" si="9"/>
        <v>Regular Viewer</v>
      </c>
    </row>
    <row r="296" spans="1:20" x14ac:dyDescent="0.3">
      <c r="A296" t="s">
        <v>355</v>
      </c>
      <c r="B296" s="1">
        <v>45136</v>
      </c>
      <c r="C296">
        <v>2023</v>
      </c>
      <c r="D296" t="s">
        <v>85</v>
      </c>
      <c r="E296" t="s">
        <v>20</v>
      </c>
      <c r="F296" t="s">
        <v>63</v>
      </c>
      <c r="G296">
        <v>19</v>
      </c>
      <c r="H296" t="s">
        <v>22</v>
      </c>
      <c r="I296" t="s">
        <v>23</v>
      </c>
      <c r="J296" s="2">
        <v>499</v>
      </c>
      <c r="K296" t="s">
        <v>49</v>
      </c>
      <c r="L296">
        <v>22</v>
      </c>
      <c r="M296" t="s">
        <v>45</v>
      </c>
      <c r="N296" t="s">
        <v>26</v>
      </c>
      <c r="O296">
        <v>48</v>
      </c>
      <c r="P296" t="s">
        <v>27</v>
      </c>
      <c r="Q296">
        <v>5</v>
      </c>
      <c r="R296" s="2">
        <v>499</v>
      </c>
      <c r="S296" t="str">
        <f t="shared" si="8"/>
        <v>Genz viewer</v>
      </c>
      <c r="T296" t="str">
        <f t="shared" si="9"/>
        <v>Regular Viewer</v>
      </c>
    </row>
    <row r="297" spans="1:20" x14ac:dyDescent="0.3">
      <c r="A297" t="s">
        <v>356</v>
      </c>
      <c r="B297" s="1">
        <v>45909</v>
      </c>
      <c r="C297">
        <v>2025</v>
      </c>
      <c r="D297" t="s">
        <v>60</v>
      </c>
      <c r="E297" t="s">
        <v>52</v>
      </c>
      <c r="F297" t="s">
        <v>21</v>
      </c>
      <c r="G297">
        <v>34</v>
      </c>
      <c r="H297" t="s">
        <v>36</v>
      </c>
      <c r="I297" t="s">
        <v>48</v>
      </c>
      <c r="J297" s="2">
        <v>649</v>
      </c>
      <c r="K297" t="s">
        <v>30</v>
      </c>
      <c r="L297">
        <v>31</v>
      </c>
      <c r="M297" t="s">
        <v>25</v>
      </c>
      <c r="N297" t="s">
        <v>32</v>
      </c>
      <c r="O297">
        <v>24</v>
      </c>
      <c r="P297" t="s">
        <v>27</v>
      </c>
      <c r="Q297">
        <v>4</v>
      </c>
      <c r="R297" s="2">
        <v>649</v>
      </c>
      <c r="S297" t="str">
        <f t="shared" si="8"/>
        <v>Young Professionals</v>
      </c>
      <c r="T297" t="str">
        <f t="shared" si="9"/>
        <v>Regular Viewer</v>
      </c>
    </row>
    <row r="298" spans="1:20" x14ac:dyDescent="0.3">
      <c r="A298" t="s">
        <v>357</v>
      </c>
      <c r="B298" s="1">
        <v>45009</v>
      </c>
      <c r="C298">
        <v>2023</v>
      </c>
      <c r="D298" t="s">
        <v>66</v>
      </c>
      <c r="E298" t="s">
        <v>43</v>
      </c>
      <c r="F298" t="s">
        <v>63</v>
      </c>
      <c r="G298">
        <v>44</v>
      </c>
      <c r="H298" t="s">
        <v>36</v>
      </c>
      <c r="I298" t="s">
        <v>23</v>
      </c>
      <c r="J298" s="2">
        <v>499</v>
      </c>
      <c r="K298" t="s">
        <v>40</v>
      </c>
      <c r="L298">
        <v>30</v>
      </c>
      <c r="M298" t="s">
        <v>41</v>
      </c>
      <c r="N298" t="s">
        <v>55</v>
      </c>
      <c r="O298">
        <v>3</v>
      </c>
      <c r="P298" t="s">
        <v>27</v>
      </c>
      <c r="Q298">
        <v>5</v>
      </c>
      <c r="R298" s="2">
        <v>499</v>
      </c>
      <c r="S298" t="str">
        <f t="shared" si="8"/>
        <v>mid career adult</v>
      </c>
      <c r="T298" t="str">
        <f t="shared" si="9"/>
        <v>Regular Viewer</v>
      </c>
    </row>
    <row r="299" spans="1:20" x14ac:dyDescent="0.3">
      <c r="A299" t="s">
        <v>358</v>
      </c>
      <c r="B299" s="1">
        <v>45024</v>
      </c>
      <c r="C299">
        <v>2023</v>
      </c>
      <c r="D299" t="s">
        <v>51</v>
      </c>
      <c r="E299" t="s">
        <v>43</v>
      </c>
      <c r="F299" t="s">
        <v>21</v>
      </c>
      <c r="G299">
        <v>20</v>
      </c>
      <c r="H299" t="s">
        <v>36</v>
      </c>
      <c r="I299" t="s">
        <v>37</v>
      </c>
      <c r="J299" s="2">
        <v>199</v>
      </c>
      <c r="K299" t="s">
        <v>75</v>
      </c>
      <c r="L299">
        <v>35</v>
      </c>
      <c r="M299" t="s">
        <v>31</v>
      </c>
      <c r="N299" t="s">
        <v>26</v>
      </c>
      <c r="O299">
        <v>15</v>
      </c>
      <c r="P299" t="s">
        <v>27</v>
      </c>
      <c r="Q299">
        <v>4</v>
      </c>
      <c r="R299" s="2">
        <v>199</v>
      </c>
      <c r="S299" t="str">
        <f t="shared" si="8"/>
        <v>Genz viewer</v>
      </c>
      <c r="T299" t="str">
        <f t="shared" si="9"/>
        <v>Regular Viewer</v>
      </c>
    </row>
    <row r="300" spans="1:20" x14ac:dyDescent="0.3">
      <c r="A300" t="s">
        <v>359</v>
      </c>
      <c r="B300" s="1">
        <v>44852</v>
      </c>
      <c r="C300">
        <v>2022</v>
      </c>
      <c r="D300" t="s">
        <v>47</v>
      </c>
      <c r="E300" t="s">
        <v>43</v>
      </c>
      <c r="F300" t="s">
        <v>29</v>
      </c>
      <c r="G300">
        <v>27</v>
      </c>
      <c r="H300" t="s">
        <v>22</v>
      </c>
      <c r="I300" t="s">
        <v>48</v>
      </c>
      <c r="J300" s="2">
        <v>649</v>
      </c>
      <c r="K300" t="s">
        <v>49</v>
      </c>
      <c r="L300">
        <v>32</v>
      </c>
      <c r="M300" t="s">
        <v>25</v>
      </c>
      <c r="N300" t="s">
        <v>58</v>
      </c>
      <c r="O300">
        <v>6</v>
      </c>
      <c r="P300" t="s">
        <v>27</v>
      </c>
      <c r="Q300">
        <v>3</v>
      </c>
      <c r="R300" s="2">
        <v>649</v>
      </c>
      <c r="S300" t="str">
        <f t="shared" si="8"/>
        <v>Young Professionals</v>
      </c>
      <c r="T300" t="str">
        <f t="shared" si="9"/>
        <v>Regular Viewer</v>
      </c>
    </row>
    <row r="301" spans="1:20" x14ac:dyDescent="0.3">
      <c r="A301" t="s">
        <v>360</v>
      </c>
      <c r="B301" s="1">
        <v>45548</v>
      </c>
      <c r="C301">
        <v>2024</v>
      </c>
      <c r="D301" t="s">
        <v>60</v>
      </c>
      <c r="E301" t="s">
        <v>35</v>
      </c>
      <c r="F301" t="s">
        <v>29</v>
      </c>
      <c r="G301">
        <v>28</v>
      </c>
      <c r="H301" t="s">
        <v>36</v>
      </c>
      <c r="I301" t="s">
        <v>48</v>
      </c>
      <c r="J301" s="2">
        <v>649</v>
      </c>
      <c r="K301" t="s">
        <v>57</v>
      </c>
      <c r="L301">
        <v>24</v>
      </c>
      <c r="M301" t="s">
        <v>41</v>
      </c>
      <c r="N301" t="s">
        <v>55</v>
      </c>
      <c r="O301">
        <v>27</v>
      </c>
      <c r="P301" t="s">
        <v>27</v>
      </c>
      <c r="Q301">
        <v>3</v>
      </c>
      <c r="R301" s="2">
        <v>649</v>
      </c>
      <c r="S301" t="str">
        <f t="shared" si="8"/>
        <v>Young Professionals</v>
      </c>
      <c r="T301" t="str">
        <f t="shared" si="9"/>
        <v>Regular Viewer</v>
      </c>
    </row>
    <row r="302" spans="1:20" x14ac:dyDescent="0.3">
      <c r="A302" t="s">
        <v>361</v>
      </c>
      <c r="B302" s="1">
        <v>44623</v>
      </c>
      <c r="C302">
        <v>2022</v>
      </c>
      <c r="D302" t="s">
        <v>66</v>
      </c>
      <c r="E302" t="s">
        <v>35</v>
      </c>
      <c r="F302" t="s">
        <v>63</v>
      </c>
      <c r="G302">
        <v>48</v>
      </c>
      <c r="H302" t="s">
        <v>36</v>
      </c>
      <c r="I302" t="s">
        <v>48</v>
      </c>
      <c r="J302" s="2">
        <v>649</v>
      </c>
      <c r="K302" t="s">
        <v>57</v>
      </c>
      <c r="L302">
        <v>24</v>
      </c>
      <c r="M302" t="s">
        <v>25</v>
      </c>
      <c r="N302" t="s">
        <v>26</v>
      </c>
      <c r="O302">
        <v>37</v>
      </c>
      <c r="P302" t="s">
        <v>27</v>
      </c>
      <c r="Q302">
        <v>5</v>
      </c>
      <c r="R302" s="2">
        <v>649</v>
      </c>
      <c r="S302" t="str">
        <f t="shared" si="8"/>
        <v>Mature viewer</v>
      </c>
      <c r="T302" t="str">
        <f t="shared" si="9"/>
        <v>Regular Viewer</v>
      </c>
    </row>
    <row r="303" spans="1:20" x14ac:dyDescent="0.3">
      <c r="A303" t="s">
        <v>362</v>
      </c>
      <c r="B303" s="1">
        <v>45107</v>
      </c>
      <c r="C303">
        <v>2023</v>
      </c>
      <c r="D303" t="s">
        <v>69</v>
      </c>
      <c r="E303" t="s">
        <v>52</v>
      </c>
      <c r="F303" t="s">
        <v>21</v>
      </c>
      <c r="G303">
        <v>42</v>
      </c>
      <c r="H303" t="s">
        <v>22</v>
      </c>
      <c r="I303" t="s">
        <v>23</v>
      </c>
      <c r="J303" s="2">
        <v>499</v>
      </c>
      <c r="K303" t="s">
        <v>24</v>
      </c>
      <c r="L303">
        <v>29</v>
      </c>
      <c r="M303" t="s">
        <v>31</v>
      </c>
      <c r="N303" t="s">
        <v>26</v>
      </c>
      <c r="O303">
        <v>12</v>
      </c>
      <c r="P303" t="s">
        <v>27</v>
      </c>
      <c r="Q303">
        <v>4</v>
      </c>
      <c r="R303" s="2">
        <v>499</v>
      </c>
      <c r="S303" t="str">
        <f t="shared" si="8"/>
        <v>mid career adult</v>
      </c>
      <c r="T303" t="str">
        <f t="shared" si="9"/>
        <v>Regular Viewer</v>
      </c>
    </row>
    <row r="304" spans="1:20" x14ac:dyDescent="0.3">
      <c r="A304" t="s">
        <v>363</v>
      </c>
      <c r="B304" s="1">
        <v>45727</v>
      </c>
      <c r="C304">
        <v>2025</v>
      </c>
      <c r="D304" t="s">
        <v>66</v>
      </c>
      <c r="E304" t="s">
        <v>35</v>
      </c>
      <c r="F304" t="s">
        <v>21</v>
      </c>
      <c r="G304">
        <v>52</v>
      </c>
      <c r="H304" t="s">
        <v>36</v>
      </c>
      <c r="I304" t="s">
        <v>23</v>
      </c>
      <c r="J304" s="2">
        <v>499</v>
      </c>
      <c r="K304" t="s">
        <v>30</v>
      </c>
      <c r="L304">
        <v>32</v>
      </c>
      <c r="M304" t="s">
        <v>25</v>
      </c>
      <c r="N304" t="s">
        <v>55</v>
      </c>
      <c r="O304">
        <v>7</v>
      </c>
      <c r="P304" t="s">
        <v>27</v>
      </c>
      <c r="Q304">
        <v>4</v>
      </c>
      <c r="R304" s="2">
        <v>499</v>
      </c>
      <c r="S304" t="str">
        <f t="shared" si="8"/>
        <v>Mature viewer</v>
      </c>
      <c r="T304" t="str">
        <f t="shared" si="9"/>
        <v>Regular Viewer</v>
      </c>
    </row>
    <row r="305" spans="1:20" x14ac:dyDescent="0.3">
      <c r="A305" t="s">
        <v>364</v>
      </c>
      <c r="B305" s="1">
        <v>45538</v>
      </c>
      <c r="C305">
        <v>2024</v>
      </c>
      <c r="D305" t="s">
        <v>60</v>
      </c>
      <c r="E305" t="s">
        <v>20</v>
      </c>
      <c r="F305" t="s">
        <v>63</v>
      </c>
      <c r="G305">
        <v>36</v>
      </c>
      <c r="H305" t="s">
        <v>22</v>
      </c>
      <c r="I305" t="s">
        <v>37</v>
      </c>
      <c r="J305" s="2">
        <v>199</v>
      </c>
      <c r="K305" t="s">
        <v>24</v>
      </c>
      <c r="L305">
        <v>22</v>
      </c>
      <c r="M305" t="s">
        <v>45</v>
      </c>
      <c r="N305" t="s">
        <v>32</v>
      </c>
      <c r="O305">
        <v>18</v>
      </c>
      <c r="P305" t="s">
        <v>27</v>
      </c>
      <c r="Q305">
        <v>5</v>
      </c>
      <c r="R305" s="2">
        <v>199</v>
      </c>
      <c r="S305" t="str">
        <f t="shared" si="8"/>
        <v>mid career adult</v>
      </c>
      <c r="T305" t="str">
        <f t="shared" si="9"/>
        <v>Regular Viewer</v>
      </c>
    </row>
    <row r="306" spans="1:20" x14ac:dyDescent="0.3">
      <c r="A306" t="s">
        <v>365</v>
      </c>
      <c r="B306" s="1">
        <v>45091</v>
      </c>
      <c r="C306">
        <v>2023</v>
      </c>
      <c r="D306" t="s">
        <v>69</v>
      </c>
      <c r="E306" t="s">
        <v>43</v>
      </c>
      <c r="F306" t="s">
        <v>63</v>
      </c>
      <c r="G306">
        <v>29</v>
      </c>
      <c r="H306" t="s">
        <v>36</v>
      </c>
      <c r="I306" t="s">
        <v>23</v>
      </c>
      <c r="J306" s="2">
        <v>499</v>
      </c>
      <c r="K306" t="s">
        <v>24</v>
      </c>
      <c r="L306">
        <v>30</v>
      </c>
      <c r="M306" t="s">
        <v>41</v>
      </c>
      <c r="N306" t="s">
        <v>26</v>
      </c>
      <c r="O306">
        <v>40</v>
      </c>
      <c r="P306" t="s">
        <v>27</v>
      </c>
      <c r="Q306">
        <v>4</v>
      </c>
      <c r="R306" s="2">
        <v>499</v>
      </c>
      <c r="S306" t="str">
        <f t="shared" si="8"/>
        <v>Young Professionals</v>
      </c>
      <c r="T306" t="str">
        <f t="shared" si="9"/>
        <v>Regular Viewer</v>
      </c>
    </row>
    <row r="307" spans="1:20" x14ac:dyDescent="0.3">
      <c r="A307" t="s">
        <v>366</v>
      </c>
      <c r="B307" s="1">
        <v>45152</v>
      </c>
      <c r="C307">
        <v>2023</v>
      </c>
      <c r="D307" t="s">
        <v>34</v>
      </c>
      <c r="E307" t="s">
        <v>43</v>
      </c>
      <c r="F307" t="s">
        <v>29</v>
      </c>
      <c r="G307">
        <v>52</v>
      </c>
      <c r="H307" t="s">
        <v>36</v>
      </c>
      <c r="I307" t="s">
        <v>48</v>
      </c>
      <c r="J307" s="2">
        <v>649</v>
      </c>
      <c r="K307" t="s">
        <v>40</v>
      </c>
      <c r="L307">
        <v>26</v>
      </c>
      <c r="M307" t="s">
        <v>45</v>
      </c>
      <c r="N307" t="s">
        <v>32</v>
      </c>
      <c r="O307">
        <v>3</v>
      </c>
      <c r="P307" t="s">
        <v>27</v>
      </c>
      <c r="Q307">
        <v>4</v>
      </c>
      <c r="R307" s="2">
        <v>649</v>
      </c>
      <c r="S307" t="str">
        <f t="shared" si="8"/>
        <v>Mature viewer</v>
      </c>
      <c r="T307" t="str">
        <f t="shared" si="9"/>
        <v>Regular Viewer</v>
      </c>
    </row>
    <row r="308" spans="1:20" x14ac:dyDescent="0.3">
      <c r="A308" t="s">
        <v>367</v>
      </c>
      <c r="B308" s="1">
        <v>44868</v>
      </c>
      <c r="C308">
        <v>2022</v>
      </c>
      <c r="D308" t="s">
        <v>19</v>
      </c>
      <c r="E308" t="s">
        <v>20</v>
      </c>
      <c r="F308" t="s">
        <v>63</v>
      </c>
      <c r="G308">
        <v>41</v>
      </c>
      <c r="H308" t="s">
        <v>22</v>
      </c>
      <c r="I308" t="s">
        <v>37</v>
      </c>
      <c r="J308" s="2">
        <v>199</v>
      </c>
      <c r="K308" t="s">
        <v>67</v>
      </c>
      <c r="L308">
        <v>27</v>
      </c>
      <c r="M308" t="s">
        <v>25</v>
      </c>
      <c r="N308" t="s">
        <v>58</v>
      </c>
      <c r="O308">
        <v>6</v>
      </c>
      <c r="P308" t="s">
        <v>27</v>
      </c>
      <c r="Q308">
        <v>3</v>
      </c>
      <c r="R308" s="2">
        <v>199</v>
      </c>
      <c r="S308" t="str">
        <f t="shared" si="8"/>
        <v>mid career adult</v>
      </c>
      <c r="T308" t="str">
        <f t="shared" si="9"/>
        <v>Regular Viewer</v>
      </c>
    </row>
    <row r="309" spans="1:20" x14ac:dyDescent="0.3">
      <c r="A309" t="s">
        <v>368</v>
      </c>
      <c r="B309" s="1">
        <v>45100</v>
      </c>
      <c r="C309">
        <v>2023</v>
      </c>
      <c r="D309" t="s">
        <v>69</v>
      </c>
      <c r="E309" t="s">
        <v>52</v>
      </c>
      <c r="F309" t="s">
        <v>21</v>
      </c>
      <c r="G309">
        <v>38</v>
      </c>
      <c r="H309" t="s">
        <v>22</v>
      </c>
      <c r="I309" t="s">
        <v>23</v>
      </c>
      <c r="J309" s="2">
        <v>499</v>
      </c>
      <c r="K309" t="s">
        <v>67</v>
      </c>
      <c r="L309">
        <v>54</v>
      </c>
      <c r="M309" t="s">
        <v>31</v>
      </c>
      <c r="N309" t="s">
        <v>32</v>
      </c>
      <c r="O309">
        <v>39</v>
      </c>
      <c r="P309" t="s">
        <v>27</v>
      </c>
      <c r="Q309">
        <v>3</v>
      </c>
      <c r="R309" s="2">
        <v>499</v>
      </c>
      <c r="S309" t="str">
        <f t="shared" si="8"/>
        <v>mid career adult</v>
      </c>
      <c r="T309" t="str">
        <f t="shared" si="9"/>
        <v>Binge watcher</v>
      </c>
    </row>
    <row r="310" spans="1:20" x14ac:dyDescent="0.3">
      <c r="A310" t="s">
        <v>369</v>
      </c>
      <c r="B310" s="1">
        <v>44955</v>
      </c>
      <c r="C310">
        <v>2023</v>
      </c>
      <c r="D310" t="s">
        <v>62</v>
      </c>
      <c r="E310" t="s">
        <v>35</v>
      </c>
      <c r="F310" t="s">
        <v>29</v>
      </c>
      <c r="G310">
        <v>24</v>
      </c>
      <c r="H310" t="s">
        <v>36</v>
      </c>
      <c r="I310" t="s">
        <v>23</v>
      </c>
      <c r="J310" s="2">
        <v>499</v>
      </c>
      <c r="K310" t="s">
        <v>57</v>
      </c>
      <c r="L310">
        <v>27</v>
      </c>
      <c r="M310" t="s">
        <v>25</v>
      </c>
      <c r="N310" t="s">
        <v>55</v>
      </c>
      <c r="O310">
        <v>7</v>
      </c>
      <c r="P310" t="s">
        <v>27</v>
      </c>
      <c r="Q310">
        <v>5</v>
      </c>
      <c r="R310" s="2">
        <v>499</v>
      </c>
      <c r="S310" t="str">
        <f t="shared" si="8"/>
        <v>Genz viewer</v>
      </c>
      <c r="T310" t="str">
        <f t="shared" si="9"/>
        <v>Regular Viewer</v>
      </c>
    </row>
    <row r="311" spans="1:20" x14ac:dyDescent="0.3">
      <c r="A311" t="s">
        <v>370</v>
      </c>
      <c r="B311" s="1">
        <v>44829</v>
      </c>
      <c r="C311">
        <v>2022</v>
      </c>
      <c r="D311" t="s">
        <v>60</v>
      </c>
      <c r="E311" t="s">
        <v>43</v>
      </c>
      <c r="F311" t="s">
        <v>29</v>
      </c>
      <c r="G311">
        <v>35</v>
      </c>
      <c r="H311" t="s">
        <v>22</v>
      </c>
      <c r="I311" t="s">
        <v>23</v>
      </c>
      <c r="J311" s="2">
        <v>499</v>
      </c>
      <c r="K311" t="s">
        <v>30</v>
      </c>
      <c r="L311">
        <v>44</v>
      </c>
      <c r="M311" t="s">
        <v>41</v>
      </c>
      <c r="N311" t="s">
        <v>32</v>
      </c>
      <c r="O311">
        <v>32</v>
      </c>
      <c r="P311" t="s">
        <v>27</v>
      </c>
      <c r="Q311">
        <v>4</v>
      </c>
      <c r="R311" s="2">
        <v>499</v>
      </c>
      <c r="S311" t="str">
        <f t="shared" si="8"/>
        <v>mid career adult</v>
      </c>
      <c r="T311" t="str">
        <f t="shared" si="9"/>
        <v>Engaged Viewer</v>
      </c>
    </row>
    <row r="312" spans="1:20" x14ac:dyDescent="0.3">
      <c r="A312" t="s">
        <v>371</v>
      </c>
      <c r="B312" s="1">
        <v>44692</v>
      </c>
      <c r="C312">
        <v>2022</v>
      </c>
      <c r="D312" t="s">
        <v>79</v>
      </c>
      <c r="E312" t="s">
        <v>52</v>
      </c>
      <c r="F312" t="s">
        <v>29</v>
      </c>
      <c r="G312">
        <v>40</v>
      </c>
      <c r="H312" t="s">
        <v>36</v>
      </c>
      <c r="I312" t="s">
        <v>23</v>
      </c>
      <c r="J312" s="2">
        <v>499</v>
      </c>
      <c r="K312" t="s">
        <v>44</v>
      </c>
      <c r="L312">
        <v>56</v>
      </c>
      <c r="M312" t="s">
        <v>41</v>
      </c>
      <c r="N312" t="s">
        <v>58</v>
      </c>
      <c r="O312">
        <v>30</v>
      </c>
      <c r="P312" t="s">
        <v>27</v>
      </c>
      <c r="Q312">
        <v>3</v>
      </c>
      <c r="R312" s="2">
        <v>499</v>
      </c>
      <c r="S312" t="str">
        <f t="shared" si="8"/>
        <v>mid career adult</v>
      </c>
      <c r="T312" t="str">
        <f t="shared" si="9"/>
        <v>Binge watcher</v>
      </c>
    </row>
    <row r="313" spans="1:20" x14ac:dyDescent="0.3">
      <c r="A313" t="s">
        <v>372</v>
      </c>
      <c r="B313" s="1">
        <v>45865</v>
      </c>
      <c r="C313">
        <v>2025</v>
      </c>
      <c r="D313" t="s">
        <v>85</v>
      </c>
      <c r="E313" t="s">
        <v>20</v>
      </c>
      <c r="F313" t="s">
        <v>21</v>
      </c>
      <c r="G313">
        <v>44</v>
      </c>
      <c r="H313" t="s">
        <v>22</v>
      </c>
      <c r="I313" t="s">
        <v>23</v>
      </c>
      <c r="J313" s="2">
        <v>499</v>
      </c>
      <c r="K313" t="s">
        <v>24</v>
      </c>
      <c r="L313">
        <v>43</v>
      </c>
      <c r="M313" t="s">
        <v>45</v>
      </c>
      <c r="N313" t="s">
        <v>55</v>
      </c>
      <c r="O313">
        <v>24</v>
      </c>
      <c r="P313" t="s">
        <v>27</v>
      </c>
      <c r="Q313">
        <v>4</v>
      </c>
      <c r="R313" s="2">
        <v>499</v>
      </c>
      <c r="S313" t="str">
        <f t="shared" si="8"/>
        <v>mid career adult</v>
      </c>
      <c r="T313" t="str">
        <f t="shared" si="9"/>
        <v>Engaged Viewer</v>
      </c>
    </row>
    <row r="314" spans="1:20" x14ac:dyDescent="0.3">
      <c r="A314" t="s">
        <v>373</v>
      </c>
      <c r="B314" s="1">
        <v>44571</v>
      </c>
      <c r="C314">
        <v>2022</v>
      </c>
      <c r="D314" t="s">
        <v>62</v>
      </c>
      <c r="E314" t="s">
        <v>35</v>
      </c>
      <c r="F314" t="s">
        <v>21</v>
      </c>
      <c r="G314">
        <v>40</v>
      </c>
      <c r="H314" t="s">
        <v>22</v>
      </c>
      <c r="I314" t="s">
        <v>37</v>
      </c>
      <c r="J314" s="2">
        <v>199</v>
      </c>
      <c r="K314" t="s">
        <v>67</v>
      </c>
      <c r="L314">
        <v>56</v>
      </c>
      <c r="M314" t="s">
        <v>25</v>
      </c>
      <c r="N314" t="s">
        <v>55</v>
      </c>
      <c r="O314">
        <v>40</v>
      </c>
      <c r="P314" t="s">
        <v>27</v>
      </c>
      <c r="Q314">
        <v>3</v>
      </c>
      <c r="R314" s="2">
        <v>199</v>
      </c>
      <c r="S314" t="str">
        <f t="shared" si="8"/>
        <v>mid career adult</v>
      </c>
      <c r="T314" t="str">
        <f t="shared" si="9"/>
        <v>Binge watcher</v>
      </c>
    </row>
    <row r="315" spans="1:20" x14ac:dyDescent="0.3">
      <c r="A315" t="s">
        <v>374</v>
      </c>
      <c r="B315" s="1">
        <v>44869</v>
      </c>
      <c r="C315">
        <v>2022</v>
      </c>
      <c r="D315" t="s">
        <v>19</v>
      </c>
      <c r="E315" t="s">
        <v>43</v>
      </c>
      <c r="F315" t="s">
        <v>29</v>
      </c>
      <c r="G315">
        <v>37</v>
      </c>
      <c r="H315" t="s">
        <v>36</v>
      </c>
      <c r="I315" t="s">
        <v>23</v>
      </c>
      <c r="J315" s="2">
        <v>499</v>
      </c>
      <c r="K315" t="s">
        <v>24</v>
      </c>
      <c r="L315">
        <v>53</v>
      </c>
      <c r="M315" t="s">
        <v>41</v>
      </c>
      <c r="N315" t="s">
        <v>26</v>
      </c>
      <c r="O315">
        <v>19</v>
      </c>
      <c r="P315" t="s">
        <v>27</v>
      </c>
      <c r="Q315">
        <v>3</v>
      </c>
      <c r="R315" s="2">
        <v>499</v>
      </c>
      <c r="S315" t="str">
        <f t="shared" si="8"/>
        <v>mid career adult</v>
      </c>
      <c r="T315" t="str">
        <f t="shared" si="9"/>
        <v>Binge watcher</v>
      </c>
    </row>
    <row r="316" spans="1:20" x14ac:dyDescent="0.3">
      <c r="A316" t="s">
        <v>375</v>
      </c>
      <c r="B316" s="1">
        <v>44744</v>
      </c>
      <c r="C316">
        <v>2022</v>
      </c>
      <c r="D316" t="s">
        <v>85</v>
      </c>
      <c r="E316" t="s">
        <v>52</v>
      </c>
      <c r="F316" t="s">
        <v>29</v>
      </c>
      <c r="G316">
        <v>29</v>
      </c>
      <c r="H316" t="s">
        <v>36</v>
      </c>
      <c r="I316" t="s">
        <v>23</v>
      </c>
      <c r="J316" s="2">
        <v>499</v>
      </c>
      <c r="K316" t="s">
        <v>53</v>
      </c>
      <c r="L316">
        <v>32</v>
      </c>
      <c r="M316" t="s">
        <v>41</v>
      </c>
      <c r="N316" t="s">
        <v>32</v>
      </c>
      <c r="O316">
        <v>35</v>
      </c>
      <c r="P316" t="s">
        <v>27</v>
      </c>
      <c r="Q316">
        <v>5</v>
      </c>
      <c r="R316" s="2">
        <v>499</v>
      </c>
      <c r="S316" t="str">
        <f t="shared" si="8"/>
        <v>Young Professionals</v>
      </c>
      <c r="T316" t="str">
        <f t="shared" si="9"/>
        <v>Regular Viewer</v>
      </c>
    </row>
    <row r="317" spans="1:20" x14ac:dyDescent="0.3">
      <c r="A317" t="s">
        <v>376</v>
      </c>
      <c r="B317" s="1">
        <v>44902</v>
      </c>
      <c r="C317">
        <v>2022</v>
      </c>
      <c r="D317" t="s">
        <v>39</v>
      </c>
      <c r="E317" t="s">
        <v>52</v>
      </c>
      <c r="F317" t="s">
        <v>29</v>
      </c>
      <c r="G317">
        <v>39</v>
      </c>
      <c r="H317" t="s">
        <v>22</v>
      </c>
      <c r="I317" t="s">
        <v>48</v>
      </c>
      <c r="J317" s="2">
        <v>649</v>
      </c>
      <c r="K317" t="s">
        <v>53</v>
      </c>
      <c r="L317">
        <v>29</v>
      </c>
      <c r="M317" t="s">
        <v>41</v>
      </c>
      <c r="N317" t="s">
        <v>32</v>
      </c>
      <c r="O317">
        <v>12</v>
      </c>
      <c r="P317" t="s">
        <v>27</v>
      </c>
      <c r="Q317">
        <v>3</v>
      </c>
      <c r="R317" s="2">
        <v>649</v>
      </c>
      <c r="S317" t="str">
        <f t="shared" si="8"/>
        <v>mid career adult</v>
      </c>
      <c r="T317" t="str">
        <f t="shared" si="9"/>
        <v>Regular Viewer</v>
      </c>
    </row>
    <row r="318" spans="1:20" x14ac:dyDescent="0.3">
      <c r="A318" t="s">
        <v>377</v>
      </c>
      <c r="B318" s="1">
        <v>45410</v>
      </c>
      <c r="C318">
        <v>2024</v>
      </c>
      <c r="D318" t="s">
        <v>51</v>
      </c>
      <c r="E318" t="s">
        <v>35</v>
      </c>
      <c r="F318" t="s">
        <v>29</v>
      </c>
      <c r="G318">
        <v>26</v>
      </c>
      <c r="H318" t="s">
        <v>36</v>
      </c>
      <c r="I318" t="s">
        <v>37</v>
      </c>
      <c r="J318" s="2">
        <v>199</v>
      </c>
      <c r="K318" t="s">
        <v>75</v>
      </c>
      <c r="L318">
        <v>30</v>
      </c>
      <c r="M318" t="s">
        <v>25</v>
      </c>
      <c r="N318" t="s">
        <v>58</v>
      </c>
      <c r="O318">
        <v>5</v>
      </c>
      <c r="P318" t="s">
        <v>27</v>
      </c>
      <c r="Q318">
        <v>4</v>
      </c>
      <c r="R318" s="2">
        <v>199</v>
      </c>
      <c r="S318" t="str">
        <f t="shared" si="8"/>
        <v>Young Professionals</v>
      </c>
      <c r="T318" t="str">
        <f t="shared" si="9"/>
        <v>Regular Viewer</v>
      </c>
    </row>
    <row r="319" spans="1:20" x14ac:dyDescent="0.3">
      <c r="A319" t="s">
        <v>378</v>
      </c>
      <c r="B319" s="1">
        <v>45863</v>
      </c>
      <c r="C319">
        <v>2025</v>
      </c>
      <c r="D319" t="s">
        <v>85</v>
      </c>
      <c r="E319" t="s">
        <v>20</v>
      </c>
      <c r="F319" t="s">
        <v>63</v>
      </c>
      <c r="G319">
        <v>42</v>
      </c>
      <c r="H319" t="s">
        <v>22</v>
      </c>
      <c r="I319" t="s">
        <v>23</v>
      </c>
      <c r="J319" s="2">
        <v>499</v>
      </c>
      <c r="K319" t="s">
        <v>40</v>
      </c>
      <c r="L319">
        <v>49</v>
      </c>
      <c r="M319" t="s">
        <v>41</v>
      </c>
      <c r="N319" t="s">
        <v>26</v>
      </c>
      <c r="O319">
        <v>42</v>
      </c>
      <c r="P319" t="s">
        <v>27</v>
      </c>
      <c r="Q319">
        <v>3</v>
      </c>
      <c r="R319" s="2">
        <v>499</v>
      </c>
      <c r="S319" t="str">
        <f t="shared" si="8"/>
        <v>mid career adult</v>
      </c>
      <c r="T319" t="str">
        <f t="shared" si="9"/>
        <v>Engaged Viewer</v>
      </c>
    </row>
    <row r="320" spans="1:20" x14ac:dyDescent="0.3">
      <c r="A320" t="s">
        <v>379</v>
      </c>
      <c r="B320" s="1">
        <v>44885</v>
      </c>
      <c r="C320">
        <v>2022</v>
      </c>
      <c r="D320" t="s">
        <v>19</v>
      </c>
      <c r="E320" t="s">
        <v>20</v>
      </c>
      <c r="F320" t="s">
        <v>29</v>
      </c>
      <c r="G320">
        <v>43</v>
      </c>
      <c r="H320" t="s">
        <v>22</v>
      </c>
      <c r="I320" t="s">
        <v>37</v>
      </c>
      <c r="J320" s="2">
        <v>199</v>
      </c>
      <c r="K320" t="s">
        <v>53</v>
      </c>
      <c r="L320">
        <v>26</v>
      </c>
      <c r="M320" t="s">
        <v>45</v>
      </c>
      <c r="N320" t="s">
        <v>58</v>
      </c>
      <c r="O320">
        <v>2</v>
      </c>
      <c r="P320" t="s">
        <v>73</v>
      </c>
      <c r="Q320">
        <v>4</v>
      </c>
      <c r="R320" s="2">
        <v>0</v>
      </c>
      <c r="S320" t="str">
        <f t="shared" si="8"/>
        <v>mid career adult</v>
      </c>
      <c r="T320" t="str">
        <f t="shared" si="9"/>
        <v>Regular Viewer</v>
      </c>
    </row>
    <row r="321" spans="1:20" x14ac:dyDescent="0.3">
      <c r="A321" t="s">
        <v>380</v>
      </c>
      <c r="B321" s="1">
        <v>45989</v>
      </c>
      <c r="C321">
        <v>2025</v>
      </c>
      <c r="D321" t="s">
        <v>19</v>
      </c>
      <c r="E321" t="s">
        <v>35</v>
      </c>
      <c r="F321" t="s">
        <v>29</v>
      </c>
      <c r="G321">
        <v>30</v>
      </c>
      <c r="H321" t="s">
        <v>36</v>
      </c>
      <c r="I321" t="s">
        <v>23</v>
      </c>
      <c r="J321" s="2">
        <v>499</v>
      </c>
      <c r="K321" t="s">
        <v>30</v>
      </c>
      <c r="L321">
        <v>32</v>
      </c>
      <c r="M321" t="s">
        <v>31</v>
      </c>
      <c r="N321" t="s">
        <v>55</v>
      </c>
      <c r="O321">
        <v>26</v>
      </c>
      <c r="P321" t="s">
        <v>27</v>
      </c>
      <c r="Q321">
        <v>5</v>
      </c>
      <c r="R321" s="2">
        <v>499</v>
      </c>
      <c r="S321" t="str">
        <f t="shared" si="8"/>
        <v>Young Professionals</v>
      </c>
      <c r="T321" t="str">
        <f t="shared" si="9"/>
        <v>Regular Viewer</v>
      </c>
    </row>
    <row r="322" spans="1:20" x14ac:dyDescent="0.3">
      <c r="A322" t="s">
        <v>381</v>
      </c>
      <c r="B322" s="1">
        <v>45223</v>
      </c>
      <c r="C322">
        <v>2023</v>
      </c>
      <c r="D322" t="s">
        <v>47</v>
      </c>
      <c r="E322" t="s">
        <v>43</v>
      </c>
      <c r="F322" t="s">
        <v>63</v>
      </c>
      <c r="G322">
        <v>46</v>
      </c>
      <c r="H322" t="s">
        <v>36</v>
      </c>
      <c r="I322" t="s">
        <v>23</v>
      </c>
      <c r="J322" s="2">
        <v>499</v>
      </c>
      <c r="K322" t="s">
        <v>49</v>
      </c>
      <c r="L322">
        <v>21</v>
      </c>
      <c r="M322" t="s">
        <v>45</v>
      </c>
      <c r="N322" t="s">
        <v>58</v>
      </c>
      <c r="O322">
        <v>29</v>
      </c>
      <c r="P322" t="s">
        <v>27</v>
      </c>
      <c r="Q322">
        <v>4</v>
      </c>
      <c r="R322" s="2">
        <v>499</v>
      </c>
      <c r="S322" t="str">
        <f t="shared" si="8"/>
        <v>Mature viewer</v>
      </c>
      <c r="T322" t="str">
        <f t="shared" si="9"/>
        <v>Regular Viewer</v>
      </c>
    </row>
    <row r="323" spans="1:20" x14ac:dyDescent="0.3">
      <c r="A323" t="s">
        <v>382</v>
      </c>
      <c r="B323" s="1">
        <v>45010</v>
      </c>
      <c r="C323">
        <v>2023</v>
      </c>
      <c r="D323" t="s">
        <v>66</v>
      </c>
      <c r="E323" t="s">
        <v>43</v>
      </c>
      <c r="F323" t="s">
        <v>29</v>
      </c>
      <c r="G323">
        <v>19</v>
      </c>
      <c r="H323" t="s">
        <v>36</v>
      </c>
      <c r="I323" t="s">
        <v>37</v>
      </c>
      <c r="J323" s="2">
        <v>199</v>
      </c>
      <c r="K323" t="s">
        <v>30</v>
      </c>
      <c r="L323">
        <v>51</v>
      </c>
      <c r="M323" t="s">
        <v>25</v>
      </c>
      <c r="N323" t="s">
        <v>32</v>
      </c>
      <c r="O323">
        <v>6</v>
      </c>
      <c r="P323" t="s">
        <v>27</v>
      </c>
      <c r="Q323">
        <v>5</v>
      </c>
      <c r="R323" s="2">
        <v>199</v>
      </c>
      <c r="S323" t="str">
        <f t="shared" ref="S323:S386" si="10">IF(G323&lt;=24,"Genz viewer",IF(G323&lt;=34,"Young Professionals",IF(G323&lt;=44,"mid career adult",IF(G323&lt;=54,"Mature viewer","senior viewer"))))</f>
        <v>Genz viewer</v>
      </c>
      <c r="T323" t="str">
        <f t="shared" ref="T323:T386" si="11">IF(L323&lt;=20,"Casual Viewer",IF(L323&lt;=35,"Regular Viewer", IF(L323&lt;=50,"Engaged Viewer","Binge watcher")))</f>
        <v>Binge watcher</v>
      </c>
    </row>
    <row r="324" spans="1:20" x14ac:dyDescent="0.3">
      <c r="A324" t="s">
        <v>383</v>
      </c>
      <c r="B324" s="1">
        <v>45875</v>
      </c>
      <c r="C324">
        <v>2025</v>
      </c>
      <c r="D324" t="s">
        <v>34</v>
      </c>
      <c r="E324" t="s">
        <v>35</v>
      </c>
      <c r="F324" t="s">
        <v>29</v>
      </c>
      <c r="G324">
        <v>43</v>
      </c>
      <c r="H324" t="s">
        <v>22</v>
      </c>
      <c r="I324" t="s">
        <v>37</v>
      </c>
      <c r="J324" s="2">
        <v>199</v>
      </c>
      <c r="K324" t="s">
        <v>49</v>
      </c>
      <c r="L324">
        <v>24</v>
      </c>
      <c r="M324" t="s">
        <v>25</v>
      </c>
      <c r="N324" t="s">
        <v>55</v>
      </c>
      <c r="O324">
        <v>38</v>
      </c>
      <c r="P324" t="s">
        <v>27</v>
      </c>
      <c r="Q324">
        <v>4</v>
      </c>
      <c r="R324" s="2">
        <v>199</v>
      </c>
      <c r="S324" t="str">
        <f t="shared" si="10"/>
        <v>mid career adult</v>
      </c>
      <c r="T324" t="str">
        <f t="shared" si="11"/>
        <v>Regular Viewer</v>
      </c>
    </row>
    <row r="325" spans="1:20" x14ac:dyDescent="0.3">
      <c r="A325" t="s">
        <v>384</v>
      </c>
      <c r="B325" s="1">
        <v>44839</v>
      </c>
      <c r="C325">
        <v>2022</v>
      </c>
      <c r="D325" t="s">
        <v>47</v>
      </c>
      <c r="E325" t="s">
        <v>35</v>
      </c>
      <c r="F325" t="s">
        <v>29</v>
      </c>
      <c r="G325">
        <v>41</v>
      </c>
      <c r="H325" t="s">
        <v>22</v>
      </c>
      <c r="I325" t="s">
        <v>37</v>
      </c>
      <c r="J325" s="2">
        <v>199</v>
      </c>
      <c r="K325" t="s">
        <v>67</v>
      </c>
      <c r="L325">
        <v>50</v>
      </c>
      <c r="M325" t="s">
        <v>41</v>
      </c>
      <c r="N325" t="s">
        <v>26</v>
      </c>
      <c r="O325">
        <v>4</v>
      </c>
      <c r="P325" t="s">
        <v>27</v>
      </c>
      <c r="Q325">
        <v>5</v>
      </c>
      <c r="R325" s="2">
        <v>199</v>
      </c>
      <c r="S325" t="str">
        <f t="shared" si="10"/>
        <v>mid career adult</v>
      </c>
      <c r="T325" t="str">
        <f t="shared" si="11"/>
        <v>Engaged Viewer</v>
      </c>
    </row>
    <row r="326" spans="1:20" x14ac:dyDescent="0.3">
      <c r="A326" t="s">
        <v>385</v>
      </c>
      <c r="B326" s="1">
        <v>44816</v>
      </c>
      <c r="C326">
        <v>2022</v>
      </c>
      <c r="D326" t="s">
        <v>60</v>
      </c>
      <c r="E326" t="s">
        <v>35</v>
      </c>
      <c r="F326" t="s">
        <v>29</v>
      </c>
      <c r="G326">
        <v>51</v>
      </c>
      <c r="H326" t="s">
        <v>22</v>
      </c>
      <c r="I326" t="s">
        <v>48</v>
      </c>
      <c r="J326" s="2">
        <v>649</v>
      </c>
      <c r="K326" t="s">
        <v>49</v>
      </c>
      <c r="L326">
        <v>45</v>
      </c>
      <c r="M326" t="s">
        <v>45</v>
      </c>
      <c r="N326" t="s">
        <v>55</v>
      </c>
      <c r="O326">
        <v>30</v>
      </c>
      <c r="P326" t="s">
        <v>27</v>
      </c>
      <c r="Q326">
        <v>4</v>
      </c>
      <c r="R326" s="2">
        <v>649</v>
      </c>
      <c r="S326" t="str">
        <f t="shared" si="10"/>
        <v>Mature viewer</v>
      </c>
      <c r="T326" t="str">
        <f t="shared" si="11"/>
        <v>Engaged Viewer</v>
      </c>
    </row>
    <row r="327" spans="1:20" x14ac:dyDescent="0.3">
      <c r="A327" t="s">
        <v>386</v>
      </c>
      <c r="B327" s="1">
        <v>45859</v>
      </c>
      <c r="C327">
        <v>2025</v>
      </c>
      <c r="D327" t="s">
        <v>85</v>
      </c>
      <c r="E327" t="s">
        <v>43</v>
      </c>
      <c r="F327" t="s">
        <v>63</v>
      </c>
      <c r="G327">
        <v>50</v>
      </c>
      <c r="H327" t="s">
        <v>22</v>
      </c>
      <c r="I327" t="s">
        <v>48</v>
      </c>
      <c r="J327" s="2">
        <v>649</v>
      </c>
      <c r="K327" t="s">
        <v>40</v>
      </c>
      <c r="L327">
        <v>42</v>
      </c>
      <c r="M327" t="s">
        <v>45</v>
      </c>
      <c r="N327" t="s">
        <v>58</v>
      </c>
      <c r="O327">
        <v>26</v>
      </c>
      <c r="P327" t="s">
        <v>27</v>
      </c>
      <c r="Q327">
        <v>3</v>
      </c>
      <c r="R327" s="2">
        <v>649</v>
      </c>
      <c r="S327" t="str">
        <f t="shared" si="10"/>
        <v>Mature viewer</v>
      </c>
      <c r="T327" t="str">
        <f t="shared" si="11"/>
        <v>Engaged Viewer</v>
      </c>
    </row>
    <row r="328" spans="1:20" x14ac:dyDescent="0.3">
      <c r="A328" t="s">
        <v>387</v>
      </c>
      <c r="B328" s="1">
        <v>45672</v>
      </c>
      <c r="C328">
        <v>2025</v>
      </c>
      <c r="D328" t="s">
        <v>62</v>
      </c>
      <c r="E328" t="s">
        <v>43</v>
      </c>
      <c r="F328" t="s">
        <v>29</v>
      </c>
      <c r="G328">
        <v>55</v>
      </c>
      <c r="H328" t="s">
        <v>36</v>
      </c>
      <c r="I328" t="s">
        <v>23</v>
      </c>
      <c r="J328" s="2">
        <v>499</v>
      </c>
      <c r="K328" t="s">
        <v>24</v>
      </c>
      <c r="L328">
        <v>50</v>
      </c>
      <c r="M328" t="s">
        <v>25</v>
      </c>
      <c r="N328" t="s">
        <v>58</v>
      </c>
      <c r="O328">
        <v>1</v>
      </c>
      <c r="P328" t="s">
        <v>27</v>
      </c>
      <c r="Q328">
        <v>4</v>
      </c>
      <c r="R328" s="2">
        <v>499</v>
      </c>
      <c r="S328" t="str">
        <f t="shared" si="10"/>
        <v>senior viewer</v>
      </c>
      <c r="T328" t="str">
        <f t="shared" si="11"/>
        <v>Engaged Viewer</v>
      </c>
    </row>
    <row r="329" spans="1:20" x14ac:dyDescent="0.3">
      <c r="A329" t="s">
        <v>388</v>
      </c>
      <c r="B329" s="1">
        <v>45605</v>
      </c>
      <c r="C329">
        <v>2024</v>
      </c>
      <c r="D329" t="s">
        <v>19</v>
      </c>
      <c r="E329" t="s">
        <v>52</v>
      </c>
      <c r="F329" t="s">
        <v>63</v>
      </c>
      <c r="G329">
        <v>19</v>
      </c>
      <c r="H329" t="s">
        <v>36</v>
      </c>
      <c r="I329" t="s">
        <v>23</v>
      </c>
      <c r="J329" s="2">
        <v>499</v>
      </c>
      <c r="K329" t="s">
        <v>40</v>
      </c>
      <c r="L329">
        <v>24</v>
      </c>
      <c r="M329" t="s">
        <v>41</v>
      </c>
      <c r="N329" t="s">
        <v>58</v>
      </c>
      <c r="O329">
        <v>2</v>
      </c>
      <c r="P329" t="s">
        <v>27</v>
      </c>
      <c r="Q329">
        <v>5</v>
      </c>
      <c r="R329" s="2">
        <v>499</v>
      </c>
      <c r="S329" t="str">
        <f t="shared" si="10"/>
        <v>Genz viewer</v>
      </c>
      <c r="T329" t="str">
        <f t="shared" si="11"/>
        <v>Regular Viewer</v>
      </c>
    </row>
    <row r="330" spans="1:20" x14ac:dyDescent="0.3">
      <c r="A330" t="s">
        <v>389</v>
      </c>
      <c r="B330" s="1">
        <v>45184</v>
      </c>
      <c r="C330">
        <v>2023</v>
      </c>
      <c r="D330" t="s">
        <v>60</v>
      </c>
      <c r="E330" t="s">
        <v>20</v>
      </c>
      <c r="F330" t="s">
        <v>29</v>
      </c>
      <c r="G330">
        <v>49</v>
      </c>
      <c r="H330" t="s">
        <v>22</v>
      </c>
      <c r="I330" t="s">
        <v>48</v>
      </c>
      <c r="J330" s="2">
        <v>649</v>
      </c>
      <c r="K330" t="s">
        <v>30</v>
      </c>
      <c r="L330">
        <v>35</v>
      </c>
      <c r="M330" t="s">
        <v>31</v>
      </c>
      <c r="N330" t="s">
        <v>55</v>
      </c>
      <c r="O330">
        <v>48</v>
      </c>
      <c r="P330" t="s">
        <v>27</v>
      </c>
      <c r="Q330">
        <v>3</v>
      </c>
      <c r="R330" s="2">
        <v>649</v>
      </c>
      <c r="S330" t="str">
        <f t="shared" si="10"/>
        <v>Mature viewer</v>
      </c>
      <c r="T330" t="str">
        <f t="shared" si="11"/>
        <v>Regular Viewer</v>
      </c>
    </row>
    <row r="331" spans="1:20" x14ac:dyDescent="0.3">
      <c r="A331" t="s">
        <v>390</v>
      </c>
      <c r="B331" s="1">
        <v>45134</v>
      </c>
      <c r="C331">
        <v>2023</v>
      </c>
      <c r="D331" t="s">
        <v>85</v>
      </c>
      <c r="E331" t="s">
        <v>20</v>
      </c>
      <c r="F331" t="s">
        <v>63</v>
      </c>
      <c r="G331">
        <v>39</v>
      </c>
      <c r="H331" t="s">
        <v>22</v>
      </c>
      <c r="I331" t="s">
        <v>37</v>
      </c>
      <c r="J331" s="2">
        <v>199</v>
      </c>
      <c r="K331" t="s">
        <v>49</v>
      </c>
      <c r="L331">
        <v>46</v>
      </c>
      <c r="M331" t="s">
        <v>45</v>
      </c>
      <c r="N331" t="s">
        <v>55</v>
      </c>
      <c r="O331">
        <v>1</v>
      </c>
      <c r="P331" t="s">
        <v>27</v>
      </c>
      <c r="Q331">
        <v>5</v>
      </c>
      <c r="R331" s="2">
        <v>199</v>
      </c>
      <c r="S331" t="str">
        <f t="shared" si="10"/>
        <v>mid career adult</v>
      </c>
      <c r="T331" t="str">
        <f t="shared" si="11"/>
        <v>Engaged Viewer</v>
      </c>
    </row>
    <row r="332" spans="1:20" x14ac:dyDescent="0.3">
      <c r="A332" t="s">
        <v>391</v>
      </c>
      <c r="B332" s="1">
        <v>45574</v>
      </c>
      <c r="C332">
        <v>2024</v>
      </c>
      <c r="D332" t="s">
        <v>47</v>
      </c>
      <c r="E332" t="s">
        <v>52</v>
      </c>
      <c r="F332" t="s">
        <v>63</v>
      </c>
      <c r="G332">
        <v>53</v>
      </c>
      <c r="H332" t="s">
        <v>22</v>
      </c>
      <c r="I332" t="s">
        <v>23</v>
      </c>
      <c r="J332" s="2">
        <v>499</v>
      </c>
      <c r="K332" t="s">
        <v>24</v>
      </c>
      <c r="L332">
        <v>30</v>
      </c>
      <c r="M332" t="s">
        <v>41</v>
      </c>
      <c r="N332" t="s">
        <v>55</v>
      </c>
      <c r="O332">
        <v>31</v>
      </c>
      <c r="P332" t="s">
        <v>27</v>
      </c>
      <c r="Q332">
        <v>3</v>
      </c>
      <c r="R332" s="2">
        <v>499</v>
      </c>
      <c r="S332" t="str">
        <f t="shared" si="10"/>
        <v>Mature viewer</v>
      </c>
      <c r="T332" t="str">
        <f t="shared" si="11"/>
        <v>Regular Viewer</v>
      </c>
    </row>
    <row r="333" spans="1:20" x14ac:dyDescent="0.3">
      <c r="A333" t="s">
        <v>392</v>
      </c>
      <c r="B333" s="1">
        <v>45982</v>
      </c>
      <c r="C333">
        <v>2025</v>
      </c>
      <c r="D333" t="s">
        <v>19</v>
      </c>
      <c r="E333" t="s">
        <v>35</v>
      </c>
      <c r="F333" t="s">
        <v>63</v>
      </c>
      <c r="G333">
        <v>38</v>
      </c>
      <c r="H333" t="s">
        <v>22</v>
      </c>
      <c r="I333" t="s">
        <v>23</v>
      </c>
      <c r="J333" s="2">
        <v>499</v>
      </c>
      <c r="K333" t="s">
        <v>44</v>
      </c>
      <c r="L333">
        <v>53</v>
      </c>
      <c r="M333" t="s">
        <v>25</v>
      </c>
      <c r="N333" t="s">
        <v>58</v>
      </c>
      <c r="O333">
        <v>19</v>
      </c>
      <c r="P333" t="s">
        <v>27</v>
      </c>
      <c r="Q333">
        <v>3</v>
      </c>
      <c r="R333" s="2">
        <v>499</v>
      </c>
      <c r="S333" t="str">
        <f t="shared" si="10"/>
        <v>mid career adult</v>
      </c>
      <c r="T333" t="str">
        <f t="shared" si="11"/>
        <v>Binge watcher</v>
      </c>
    </row>
    <row r="334" spans="1:20" x14ac:dyDescent="0.3">
      <c r="A334" t="s">
        <v>393</v>
      </c>
      <c r="B334" s="1">
        <v>45361</v>
      </c>
      <c r="C334">
        <v>2024</v>
      </c>
      <c r="D334" t="s">
        <v>66</v>
      </c>
      <c r="E334" t="s">
        <v>52</v>
      </c>
      <c r="F334" t="s">
        <v>21</v>
      </c>
      <c r="G334">
        <v>45</v>
      </c>
      <c r="H334" t="s">
        <v>22</v>
      </c>
      <c r="I334" t="s">
        <v>37</v>
      </c>
      <c r="J334" s="2">
        <v>199</v>
      </c>
      <c r="K334" t="s">
        <v>75</v>
      </c>
      <c r="L334">
        <v>54</v>
      </c>
      <c r="M334" t="s">
        <v>45</v>
      </c>
      <c r="N334" t="s">
        <v>58</v>
      </c>
      <c r="O334">
        <v>21</v>
      </c>
      <c r="P334" t="s">
        <v>27</v>
      </c>
      <c r="Q334">
        <v>3</v>
      </c>
      <c r="R334" s="2">
        <v>199</v>
      </c>
      <c r="S334" t="str">
        <f t="shared" si="10"/>
        <v>Mature viewer</v>
      </c>
      <c r="T334" t="str">
        <f t="shared" si="11"/>
        <v>Binge watcher</v>
      </c>
    </row>
    <row r="335" spans="1:20" x14ac:dyDescent="0.3">
      <c r="A335" t="s">
        <v>394</v>
      </c>
      <c r="B335" s="1">
        <v>45450</v>
      </c>
      <c r="C335">
        <v>2024</v>
      </c>
      <c r="D335" t="s">
        <v>69</v>
      </c>
      <c r="E335" t="s">
        <v>20</v>
      </c>
      <c r="F335" t="s">
        <v>29</v>
      </c>
      <c r="G335">
        <v>48</v>
      </c>
      <c r="H335" t="s">
        <v>36</v>
      </c>
      <c r="I335" t="s">
        <v>37</v>
      </c>
      <c r="J335" s="2">
        <v>199</v>
      </c>
      <c r="K335" t="s">
        <v>44</v>
      </c>
      <c r="L335">
        <v>58</v>
      </c>
      <c r="M335" t="s">
        <v>45</v>
      </c>
      <c r="N335" t="s">
        <v>26</v>
      </c>
      <c r="O335">
        <v>5</v>
      </c>
      <c r="P335" t="s">
        <v>27</v>
      </c>
      <c r="Q335">
        <v>5</v>
      </c>
      <c r="R335" s="2">
        <v>199</v>
      </c>
      <c r="S335" t="str">
        <f t="shared" si="10"/>
        <v>Mature viewer</v>
      </c>
      <c r="T335" t="str">
        <f t="shared" si="11"/>
        <v>Binge watcher</v>
      </c>
    </row>
    <row r="336" spans="1:20" x14ac:dyDescent="0.3">
      <c r="A336" t="s">
        <v>395</v>
      </c>
      <c r="B336" s="1">
        <v>45726</v>
      </c>
      <c r="C336">
        <v>2025</v>
      </c>
      <c r="D336" t="s">
        <v>66</v>
      </c>
      <c r="E336" t="s">
        <v>35</v>
      </c>
      <c r="F336" t="s">
        <v>63</v>
      </c>
      <c r="G336">
        <v>18</v>
      </c>
      <c r="H336" t="s">
        <v>22</v>
      </c>
      <c r="I336" t="s">
        <v>48</v>
      </c>
      <c r="J336" s="2">
        <v>649</v>
      </c>
      <c r="K336" t="s">
        <v>75</v>
      </c>
      <c r="L336">
        <v>40</v>
      </c>
      <c r="M336" t="s">
        <v>25</v>
      </c>
      <c r="N336" t="s">
        <v>32</v>
      </c>
      <c r="O336">
        <v>22</v>
      </c>
      <c r="P336" t="s">
        <v>27</v>
      </c>
      <c r="Q336">
        <v>4</v>
      </c>
      <c r="R336" s="2">
        <v>649</v>
      </c>
      <c r="S336" t="str">
        <f t="shared" si="10"/>
        <v>Genz viewer</v>
      </c>
      <c r="T336" t="str">
        <f t="shared" si="11"/>
        <v>Engaged Viewer</v>
      </c>
    </row>
    <row r="337" spans="1:20" x14ac:dyDescent="0.3">
      <c r="A337" t="s">
        <v>396</v>
      </c>
      <c r="B337" s="1">
        <v>45952</v>
      </c>
      <c r="C337">
        <v>2025</v>
      </c>
      <c r="D337" t="s">
        <v>47</v>
      </c>
      <c r="E337" t="s">
        <v>43</v>
      </c>
      <c r="F337" t="s">
        <v>21</v>
      </c>
      <c r="G337">
        <v>44</v>
      </c>
      <c r="H337" t="s">
        <v>22</v>
      </c>
      <c r="I337" t="s">
        <v>48</v>
      </c>
      <c r="J337" s="2">
        <v>649</v>
      </c>
      <c r="K337" t="s">
        <v>24</v>
      </c>
      <c r="L337">
        <v>54</v>
      </c>
      <c r="M337" t="s">
        <v>25</v>
      </c>
      <c r="N337" t="s">
        <v>58</v>
      </c>
      <c r="O337">
        <v>36</v>
      </c>
      <c r="P337" t="s">
        <v>27</v>
      </c>
      <c r="Q337">
        <v>4</v>
      </c>
      <c r="R337" s="2">
        <v>649</v>
      </c>
      <c r="S337" t="str">
        <f t="shared" si="10"/>
        <v>mid career adult</v>
      </c>
      <c r="T337" t="str">
        <f t="shared" si="11"/>
        <v>Binge watcher</v>
      </c>
    </row>
    <row r="338" spans="1:20" x14ac:dyDescent="0.3">
      <c r="A338" t="s">
        <v>397</v>
      </c>
      <c r="B338" s="1">
        <v>44809</v>
      </c>
      <c r="C338">
        <v>2022</v>
      </c>
      <c r="D338" t="s">
        <v>60</v>
      </c>
      <c r="E338" t="s">
        <v>35</v>
      </c>
      <c r="F338" t="s">
        <v>63</v>
      </c>
      <c r="G338">
        <v>37</v>
      </c>
      <c r="H338" t="s">
        <v>22</v>
      </c>
      <c r="I338" t="s">
        <v>23</v>
      </c>
      <c r="J338" s="2">
        <v>499</v>
      </c>
      <c r="K338" t="s">
        <v>24</v>
      </c>
      <c r="L338">
        <v>52</v>
      </c>
      <c r="M338" t="s">
        <v>45</v>
      </c>
      <c r="N338" t="s">
        <v>55</v>
      </c>
      <c r="O338">
        <v>35</v>
      </c>
      <c r="P338" t="s">
        <v>27</v>
      </c>
      <c r="Q338">
        <v>5</v>
      </c>
      <c r="R338" s="2">
        <v>499</v>
      </c>
      <c r="S338" t="str">
        <f t="shared" si="10"/>
        <v>mid career adult</v>
      </c>
      <c r="T338" t="str">
        <f t="shared" si="11"/>
        <v>Binge watcher</v>
      </c>
    </row>
    <row r="339" spans="1:20" x14ac:dyDescent="0.3">
      <c r="A339" t="s">
        <v>398</v>
      </c>
      <c r="B339" s="1">
        <v>45854</v>
      </c>
      <c r="C339">
        <v>2025</v>
      </c>
      <c r="D339" t="s">
        <v>85</v>
      </c>
      <c r="E339" t="s">
        <v>43</v>
      </c>
      <c r="F339" t="s">
        <v>29</v>
      </c>
      <c r="G339">
        <v>40</v>
      </c>
      <c r="H339" t="s">
        <v>36</v>
      </c>
      <c r="I339" t="s">
        <v>37</v>
      </c>
      <c r="J339" s="2">
        <v>199</v>
      </c>
      <c r="K339" t="s">
        <v>30</v>
      </c>
      <c r="L339">
        <v>36</v>
      </c>
      <c r="M339" t="s">
        <v>45</v>
      </c>
      <c r="N339" t="s">
        <v>26</v>
      </c>
      <c r="O339">
        <v>33</v>
      </c>
      <c r="P339" t="s">
        <v>27</v>
      </c>
      <c r="Q339">
        <v>5</v>
      </c>
      <c r="R339" s="2">
        <v>199</v>
      </c>
      <c r="S339" t="str">
        <f t="shared" si="10"/>
        <v>mid career adult</v>
      </c>
      <c r="T339" t="str">
        <f t="shared" si="11"/>
        <v>Engaged Viewer</v>
      </c>
    </row>
    <row r="340" spans="1:20" x14ac:dyDescent="0.3">
      <c r="A340" t="s">
        <v>399</v>
      </c>
      <c r="B340" s="1">
        <v>45662</v>
      </c>
      <c r="C340">
        <v>2025</v>
      </c>
      <c r="D340" t="s">
        <v>62</v>
      </c>
      <c r="E340" t="s">
        <v>43</v>
      </c>
      <c r="F340" t="s">
        <v>21</v>
      </c>
      <c r="G340">
        <v>53</v>
      </c>
      <c r="H340" t="s">
        <v>36</v>
      </c>
      <c r="I340" t="s">
        <v>23</v>
      </c>
      <c r="J340" s="2">
        <v>499</v>
      </c>
      <c r="K340" t="s">
        <v>57</v>
      </c>
      <c r="L340">
        <v>39</v>
      </c>
      <c r="M340" t="s">
        <v>25</v>
      </c>
      <c r="N340" t="s">
        <v>32</v>
      </c>
      <c r="O340">
        <v>35</v>
      </c>
      <c r="P340" t="s">
        <v>27</v>
      </c>
      <c r="Q340">
        <v>5</v>
      </c>
      <c r="R340" s="2">
        <v>499</v>
      </c>
      <c r="S340" t="str">
        <f t="shared" si="10"/>
        <v>Mature viewer</v>
      </c>
      <c r="T340" t="str">
        <f t="shared" si="11"/>
        <v>Engaged Viewer</v>
      </c>
    </row>
    <row r="341" spans="1:20" x14ac:dyDescent="0.3">
      <c r="A341" t="s">
        <v>400</v>
      </c>
      <c r="B341" s="1">
        <v>45336</v>
      </c>
      <c r="C341">
        <v>2024</v>
      </c>
      <c r="D341" t="s">
        <v>111</v>
      </c>
      <c r="E341" t="s">
        <v>43</v>
      </c>
      <c r="F341" t="s">
        <v>63</v>
      </c>
      <c r="G341">
        <v>41</v>
      </c>
      <c r="H341" t="s">
        <v>36</v>
      </c>
      <c r="I341" t="s">
        <v>37</v>
      </c>
      <c r="J341" s="2">
        <v>199</v>
      </c>
      <c r="K341" t="s">
        <v>44</v>
      </c>
      <c r="L341">
        <v>37</v>
      </c>
      <c r="M341" t="s">
        <v>45</v>
      </c>
      <c r="N341" t="s">
        <v>32</v>
      </c>
      <c r="O341">
        <v>39</v>
      </c>
      <c r="P341" t="s">
        <v>73</v>
      </c>
      <c r="Q341">
        <v>2</v>
      </c>
      <c r="R341" s="2">
        <v>0</v>
      </c>
      <c r="S341" t="str">
        <f t="shared" si="10"/>
        <v>mid career adult</v>
      </c>
      <c r="T341" t="str">
        <f t="shared" si="11"/>
        <v>Engaged Viewer</v>
      </c>
    </row>
    <row r="342" spans="1:20" x14ac:dyDescent="0.3">
      <c r="A342" t="s">
        <v>401</v>
      </c>
      <c r="B342" s="1">
        <v>45640</v>
      </c>
      <c r="C342">
        <v>2024</v>
      </c>
      <c r="D342" t="s">
        <v>39</v>
      </c>
      <c r="E342" t="s">
        <v>43</v>
      </c>
      <c r="F342" t="s">
        <v>29</v>
      </c>
      <c r="G342">
        <v>27</v>
      </c>
      <c r="H342" t="s">
        <v>36</v>
      </c>
      <c r="I342" t="s">
        <v>23</v>
      </c>
      <c r="J342" s="2">
        <v>499</v>
      </c>
      <c r="K342" t="s">
        <v>44</v>
      </c>
      <c r="L342">
        <v>48</v>
      </c>
      <c r="M342" t="s">
        <v>25</v>
      </c>
      <c r="N342" t="s">
        <v>58</v>
      </c>
      <c r="O342">
        <v>6</v>
      </c>
      <c r="P342" t="s">
        <v>73</v>
      </c>
      <c r="Q342">
        <v>5</v>
      </c>
      <c r="R342" s="2">
        <v>0</v>
      </c>
      <c r="S342" t="str">
        <f t="shared" si="10"/>
        <v>Young Professionals</v>
      </c>
      <c r="T342" t="str">
        <f t="shared" si="11"/>
        <v>Engaged Viewer</v>
      </c>
    </row>
    <row r="343" spans="1:20" x14ac:dyDescent="0.3">
      <c r="A343" t="s">
        <v>402</v>
      </c>
      <c r="B343" s="1">
        <v>45270</v>
      </c>
      <c r="C343">
        <v>2023</v>
      </c>
      <c r="D343" t="s">
        <v>39</v>
      </c>
      <c r="E343" t="s">
        <v>52</v>
      </c>
      <c r="F343" t="s">
        <v>21</v>
      </c>
      <c r="G343">
        <v>46</v>
      </c>
      <c r="H343" t="s">
        <v>22</v>
      </c>
      <c r="I343" t="s">
        <v>37</v>
      </c>
      <c r="J343" s="2">
        <v>199</v>
      </c>
      <c r="K343" t="s">
        <v>49</v>
      </c>
      <c r="L343">
        <v>45</v>
      </c>
      <c r="M343" t="s">
        <v>41</v>
      </c>
      <c r="N343" t="s">
        <v>26</v>
      </c>
      <c r="O343">
        <v>25</v>
      </c>
      <c r="P343" t="s">
        <v>27</v>
      </c>
      <c r="Q343">
        <v>3</v>
      </c>
      <c r="R343" s="2">
        <v>199</v>
      </c>
      <c r="S343" t="str">
        <f t="shared" si="10"/>
        <v>Mature viewer</v>
      </c>
      <c r="T343" t="str">
        <f t="shared" si="11"/>
        <v>Engaged Viewer</v>
      </c>
    </row>
    <row r="344" spans="1:20" x14ac:dyDescent="0.3">
      <c r="A344" t="s">
        <v>403</v>
      </c>
      <c r="B344" s="1">
        <v>46021</v>
      </c>
      <c r="C344">
        <v>2025</v>
      </c>
      <c r="D344" t="s">
        <v>39</v>
      </c>
      <c r="E344" t="s">
        <v>52</v>
      </c>
      <c r="F344" t="s">
        <v>63</v>
      </c>
      <c r="G344">
        <v>25</v>
      </c>
      <c r="H344" t="s">
        <v>36</v>
      </c>
      <c r="I344" t="s">
        <v>23</v>
      </c>
      <c r="J344" s="2">
        <v>499</v>
      </c>
      <c r="K344" t="s">
        <v>30</v>
      </c>
      <c r="L344">
        <v>25</v>
      </c>
      <c r="M344" t="s">
        <v>41</v>
      </c>
      <c r="N344" t="s">
        <v>58</v>
      </c>
      <c r="O344">
        <v>10</v>
      </c>
      <c r="P344" t="s">
        <v>27</v>
      </c>
      <c r="Q344">
        <v>3</v>
      </c>
      <c r="R344" s="2">
        <v>499</v>
      </c>
      <c r="S344" t="str">
        <f t="shared" si="10"/>
        <v>Young Professionals</v>
      </c>
      <c r="T344" t="str">
        <f t="shared" si="11"/>
        <v>Regular Viewer</v>
      </c>
    </row>
    <row r="345" spans="1:20" x14ac:dyDescent="0.3">
      <c r="A345" t="s">
        <v>404</v>
      </c>
      <c r="B345" s="1">
        <v>45340</v>
      </c>
      <c r="C345">
        <v>2024</v>
      </c>
      <c r="D345" t="s">
        <v>111</v>
      </c>
      <c r="E345" t="s">
        <v>20</v>
      </c>
      <c r="F345" t="s">
        <v>29</v>
      </c>
      <c r="G345">
        <v>34</v>
      </c>
      <c r="H345" t="s">
        <v>36</v>
      </c>
      <c r="I345" t="s">
        <v>48</v>
      </c>
      <c r="J345" s="2">
        <v>649</v>
      </c>
      <c r="K345" t="s">
        <v>57</v>
      </c>
      <c r="L345">
        <v>49</v>
      </c>
      <c r="M345" t="s">
        <v>31</v>
      </c>
      <c r="N345" t="s">
        <v>32</v>
      </c>
      <c r="O345">
        <v>27</v>
      </c>
      <c r="P345" t="s">
        <v>27</v>
      </c>
      <c r="Q345">
        <v>4</v>
      </c>
      <c r="R345" s="2">
        <v>649</v>
      </c>
      <c r="S345" t="str">
        <f t="shared" si="10"/>
        <v>Young Professionals</v>
      </c>
      <c r="T345" t="str">
        <f t="shared" si="11"/>
        <v>Engaged Viewer</v>
      </c>
    </row>
    <row r="346" spans="1:20" x14ac:dyDescent="0.3">
      <c r="A346" t="s">
        <v>405</v>
      </c>
      <c r="B346" s="1">
        <v>45831</v>
      </c>
      <c r="C346">
        <v>2025</v>
      </c>
      <c r="D346" t="s">
        <v>69</v>
      </c>
      <c r="E346" t="s">
        <v>52</v>
      </c>
      <c r="F346" t="s">
        <v>29</v>
      </c>
      <c r="G346">
        <v>42</v>
      </c>
      <c r="H346" t="s">
        <v>36</v>
      </c>
      <c r="I346" t="s">
        <v>23</v>
      </c>
      <c r="J346" s="2">
        <v>499</v>
      </c>
      <c r="K346" t="s">
        <v>67</v>
      </c>
      <c r="L346">
        <v>36</v>
      </c>
      <c r="M346" t="s">
        <v>31</v>
      </c>
      <c r="N346" t="s">
        <v>58</v>
      </c>
      <c r="O346">
        <v>27</v>
      </c>
      <c r="P346" t="s">
        <v>27</v>
      </c>
      <c r="Q346">
        <v>5</v>
      </c>
      <c r="R346" s="2">
        <v>499</v>
      </c>
      <c r="S346" t="str">
        <f t="shared" si="10"/>
        <v>mid career adult</v>
      </c>
      <c r="T346" t="str">
        <f t="shared" si="11"/>
        <v>Engaged Viewer</v>
      </c>
    </row>
    <row r="347" spans="1:20" x14ac:dyDescent="0.3">
      <c r="A347" t="s">
        <v>406</v>
      </c>
      <c r="B347" s="1">
        <v>45674</v>
      </c>
      <c r="C347">
        <v>2025</v>
      </c>
      <c r="D347" t="s">
        <v>62</v>
      </c>
      <c r="E347" t="s">
        <v>35</v>
      </c>
      <c r="F347" t="s">
        <v>29</v>
      </c>
      <c r="G347">
        <v>37</v>
      </c>
      <c r="H347" t="s">
        <v>36</v>
      </c>
      <c r="I347" t="s">
        <v>37</v>
      </c>
      <c r="J347" s="2">
        <v>199</v>
      </c>
      <c r="K347" t="s">
        <v>49</v>
      </c>
      <c r="L347">
        <v>31</v>
      </c>
      <c r="M347" t="s">
        <v>41</v>
      </c>
      <c r="N347" t="s">
        <v>32</v>
      </c>
      <c r="O347">
        <v>6</v>
      </c>
      <c r="P347" t="s">
        <v>27</v>
      </c>
      <c r="Q347">
        <v>5</v>
      </c>
      <c r="R347" s="2">
        <v>199</v>
      </c>
      <c r="S347" t="str">
        <f t="shared" si="10"/>
        <v>mid career adult</v>
      </c>
      <c r="T347" t="str">
        <f t="shared" si="11"/>
        <v>Regular Viewer</v>
      </c>
    </row>
    <row r="348" spans="1:20" x14ac:dyDescent="0.3">
      <c r="A348" t="s">
        <v>407</v>
      </c>
      <c r="B348" s="1">
        <v>44760</v>
      </c>
      <c r="C348">
        <v>2022</v>
      </c>
      <c r="D348" t="s">
        <v>85</v>
      </c>
      <c r="E348" t="s">
        <v>52</v>
      </c>
      <c r="F348" t="s">
        <v>21</v>
      </c>
      <c r="G348">
        <v>24</v>
      </c>
      <c r="H348" t="s">
        <v>36</v>
      </c>
      <c r="I348" t="s">
        <v>48</v>
      </c>
      <c r="J348" s="2">
        <v>649</v>
      </c>
      <c r="K348" t="s">
        <v>40</v>
      </c>
      <c r="L348">
        <v>41</v>
      </c>
      <c r="M348" t="s">
        <v>25</v>
      </c>
      <c r="N348" t="s">
        <v>26</v>
      </c>
      <c r="O348">
        <v>17</v>
      </c>
      <c r="P348" t="s">
        <v>27</v>
      </c>
      <c r="Q348">
        <v>3</v>
      </c>
      <c r="R348" s="2">
        <v>649</v>
      </c>
      <c r="S348" t="str">
        <f t="shared" si="10"/>
        <v>Genz viewer</v>
      </c>
      <c r="T348" t="str">
        <f t="shared" si="11"/>
        <v>Engaged Viewer</v>
      </c>
    </row>
    <row r="349" spans="1:20" x14ac:dyDescent="0.3">
      <c r="A349" t="s">
        <v>408</v>
      </c>
      <c r="B349" s="1">
        <v>45329</v>
      </c>
      <c r="C349">
        <v>2024</v>
      </c>
      <c r="D349" t="s">
        <v>111</v>
      </c>
      <c r="E349" t="s">
        <v>52</v>
      </c>
      <c r="F349" t="s">
        <v>63</v>
      </c>
      <c r="G349">
        <v>43</v>
      </c>
      <c r="H349" t="s">
        <v>36</v>
      </c>
      <c r="I349" t="s">
        <v>23</v>
      </c>
      <c r="J349" s="2">
        <v>499</v>
      </c>
      <c r="K349" t="s">
        <v>40</v>
      </c>
      <c r="L349">
        <v>39</v>
      </c>
      <c r="M349" t="s">
        <v>31</v>
      </c>
      <c r="N349" t="s">
        <v>55</v>
      </c>
      <c r="O349">
        <v>17</v>
      </c>
      <c r="P349" t="s">
        <v>27</v>
      </c>
      <c r="Q349">
        <v>5</v>
      </c>
      <c r="R349" s="2">
        <v>499</v>
      </c>
      <c r="S349" t="str">
        <f t="shared" si="10"/>
        <v>mid career adult</v>
      </c>
      <c r="T349" t="str">
        <f t="shared" si="11"/>
        <v>Engaged Viewer</v>
      </c>
    </row>
    <row r="350" spans="1:20" x14ac:dyDescent="0.3">
      <c r="A350" t="s">
        <v>409</v>
      </c>
      <c r="B350" s="1">
        <v>44802</v>
      </c>
      <c r="C350">
        <v>2022</v>
      </c>
      <c r="D350" t="s">
        <v>34</v>
      </c>
      <c r="E350" t="s">
        <v>52</v>
      </c>
      <c r="F350" t="s">
        <v>63</v>
      </c>
      <c r="G350">
        <v>23</v>
      </c>
      <c r="H350" t="s">
        <v>36</v>
      </c>
      <c r="I350" t="s">
        <v>37</v>
      </c>
      <c r="J350" s="2">
        <v>199</v>
      </c>
      <c r="K350" t="s">
        <v>53</v>
      </c>
      <c r="L350">
        <v>53</v>
      </c>
      <c r="M350" t="s">
        <v>45</v>
      </c>
      <c r="N350" t="s">
        <v>26</v>
      </c>
      <c r="O350">
        <v>43</v>
      </c>
      <c r="P350" t="s">
        <v>27</v>
      </c>
      <c r="Q350">
        <v>5</v>
      </c>
      <c r="R350" s="2">
        <v>199</v>
      </c>
      <c r="S350" t="str">
        <f t="shared" si="10"/>
        <v>Genz viewer</v>
      </c>
      <c r="T350" t="str">
        <f t="shared" si="11"/>
        <v>Binge watcher</v>
      </c>
    </row>
    <row r="351" spans="1:20" x14ac:dyDescent="0.3">
      <c r="A351" t="s">
        <v>410</v>
      </c>
      <c r="B351" s="1">
        <v>45896</v>
      </c>
      <c r="C351">
        <v>2025</v>
      </c>
      <c r="D351" t="s">
        <v>34</v>
      </c>
      <c r="E351" t="s">
        <v>43</v>
      </c>
      <c r="F351" t="s">
        <v>21</v>
      </c>
      <c r="G351">
        <v>26</v>
      </c>
      <c r="H351" t="s">
        <v>36</v>
      </c>
      <c r="I351" t="s">
        <v>23</v>
      </c>
      <c r="J351" s="2">
        <v>499</v>
      </c>
      <c r="K351" t="s">
        <v>57</v>
      </c>
      <c r="L351">
        <v>42</v>
      </c>
      <c r="M351" t="s">
        <v>45</v>
      </c>
      <c r="N351" t="s">
        <v>26</v>
      </c>
      <c r="O351">
        <v>31</v>
      </c>
      <c r="P351" t="s">
        <v>27</v>
      </c>
      <c r="Q351">
        <v>4</v>
      </c>
      <c r="R351" s="2">
        <v>499</v>
      </c>
      <c r="S351" t="str">
        <f t="shared" si="10"/>
        <v>Young Professionals</v>
      </c>
      <c r="T351" t="str">
        <f t="shared" si="11"/>
        <v>Engaged Viewer</v>
      </c>
    </row>
    <row r="352" spans="1:20" x14ac:dyDescent="0.3">
      <c r="A352" t="s">
        <v>411</v>
      </c>
      <c r="B352" s="1">
        <v>45702</v>
      </c>
      <c r="C352">
        <v>2025</v>
      </c>
      <c r="D352" t="s">
        <v>111</v>
      </c>
      <c r="E352" t="s">
        <v>52</v>
      </c>
      <c r="F352" t="s">
        <v>29</v>
      </c>
      <c r="G352">
        <v>40</v>
      </c>
      <c r="H352" t="s">
        <v>36</v>
      </c>
      <c r="I352" t="s">
        <v>48</v>
      </c>
      <c r="J352" s="2">
        <v>649</v>
      </c>
      <c r="K352" t="s">
        <v>53</v>
      </c>
      <c r="L352">
        <v>39</v>
      </c>
      <c r="M352" t="s">
        <v>41</v>
      </c>
      <c r="N352" t="s">
        <v>55</v>
      </c>
      <c r="O352">
        <v>3</v>
      </c>
      <c r="P352" t="s">
        <v>27</v>
      </c>
      <c r="Q352">
        <v>3</v>
      </c>
      <c r="R352" s="2">
        <v>649</v>
      </c>
      <c r="S352" t="str">
        <f t="shared" si="10"/>
        <v>mid career adult</v>
      </c>
      <c r="T352" t="str">
        <f t="shared" si="11"/>
        <v>Engaged Viewer</v>
      </c>
    </row>
    <row r="353" spans="1:20" x14ac:dyDescent="0.3">
      <c r="A353" t="s">
        <v>412</v>
      </c>
      <c r="B353" s="1">
        <v>45400</v>
      </c>
      <c r="C353">
        <v>2024</v>
      </c>
      <c r="D353" t="s">
        <v>51</v>
      </c>
      <c r="E353" t="s">
        <v>52</v>
      </c>
      <c r="F353" t="s">
        <v>63</v>
      </c>
      <c r="G353">
        <v>35</v>
      </c>
      <c r="H353" t="s">
        <v>36</v>
      </c>
      <c r="I353" t="s">
        <v>23</v>
      </c>
      <c r="J353" s="2">
        <v>499</v>
      </c>
      <c r="K353" t="s">
        <v>49</v>
      </c>
      <c r="L353">
        <v>49</v>
      </c>
      <c r="M353" t="s">
        <v>41</v>
      </c>
      <c r="N353" t="s">
        <v>26</v>
      </c>
      <c r="O353">
        <v>21</v>
      </c>
      <c r="P353" t="s">
        <v>27</v>
      </c>
      <c r="Q353">
        <v>5</v>
      </c>
      <c r="R353" s="2">
        <v>499</v>
      </c>
      <c r="S353" t="str">
        <f t="shared" si="10"/>
        <v>mid career adult</v>
      </c>
      <c r="T353" t="str">
        <f t="shared" si="11"/>
        <v>Engaged Viewer</v>
      </c>
    </row>
    <row r="354" spans="1:20" x14ac:dyDescent="0.3">
      <c r="A354" t="s">
        <v>413</v>
      </c>
      <c r="B354" s="1">
        <v>45282</v>
      </c>
      <c r="C354">
        <v>2023</v>
      </c>
      <c r="D354" t="s">
        <v>39</v>
      </c>
      <c r="E354" t="s">
        <v>52</v>
      </c>
      <c r="F354" t="s">
        <v>21</v>
      </c>
      <c r="G354">
        <v>37</v>
      </c>
      <c r="H354" t="s">
        <v>22</v>
      </c>
      <c r="I354" t="s">
        <v>37</v>
      </c>
      <c r="J354" s="2">
        <v>199</v>
      </c>
      <c r="K354" t="s">
        <v>24</v>
      </c>
      <c r="L354">
        <v>50</v>
      </c>
      <c r="M354" t="s">
        <v>41</v>
      </c>
      <c r="N354" t="s">
        <v>55</v>
      </c>
      <c r="O354">
        <v>48</v>
      </c>
      <c r="P354" t="s">
        <v>27</v>
      </c>
      <c r="Q354">
        <v>3</v>
      </c>
      <c r="R354" s="2">
        <v>199</v>
      </c>
      <c r="S354" t="str">
        <f t="shared" si="10"/>
        <v>mid career adult</v>
      </c>
      <c r="T354" t="str">
        <f t="shared" si="11"/>
        <v>Engaged Viewer</v>
      </c>
    </row>
    <row r="355" spans="1:20" x14ac:dyDescent="0.3">
      <c r="A355" t="s">
        <v>414</v>
      </c>
      <c r="B355" s="1">
        <v>44858</v>
      </c>
      <c r="C355">
        <v>2022</v>
      </c>
      <c r="D355" t="s">
        <v>47</v>
      </c>
      <c r="E355" t="s">
        <v>52</v>
      </c>
      <c r="F355" t="s">
        <v>63</v>
      </c>
      <c r="G355">
        <v>45</v>
      </c>
      <c r="H355" t="s">
        <v>22</v>
      </c>
      <c r="I355" t="s">
        <v>48</v>
      </c>
      <c r="J355" s="2">
        <v>649</v>
      </c>
      <c r="K355" t="s">
        <v>57</v>
      </c>
      <c r="L355">
        <v>20</v>
      </c>
      <c r="M355" t="s">
        <v>41</v>
      </c>
      <c r="N355" t="s">
        <v>55</v>
      </c>
      <c r="O355">
        <v>16</v>
      </c>
      <c r="P355" t="s">
        <v>27</v>
      </c>
      <c r="Q355">
        <v>4</v>
      </c>
      <c r="R355" s="2">
        <v>649</v>
      </c>
      <c r="S355" t="str">
        <f t="shared" si="10"/>
        <v>Mature viewer</v>
      </c>
      <c r="T355" t="str">
        <f t="shared" si="11"/>
        <v>Casual Viewer</v>
      </c>
    </row>
    <row r="356" spans="1:20" x14ac:dyDescent="0.3">
      <c r="A356" t="s">
        <v>415</v>
      </c>
      <c r="B356" s="1">
        <v>45107</v>
      </c>
      <c r="C356">
        <v>2023</v>
      </c>
      <c r="D356" t="s">
        <v>69</v>
      </c>
      <c r="E356" t="s">
        <v>52</v>
      </c>
      <c r="F356" t="s">
        <v>63</v>
      </c>
      <c r="G356">
        <v>36</v>
      </c>
      <c r="H356" t="s">
        <v>22</v>
      </c>
      <c r="I356" t="s">
        <v>48</v>
      </c>
      <c r="J356" s="2">
        <v>649</v>
      </c>
      <c r="K356" t="s">
        <v>24</v>
      </c>
      <c r="L356">
        <v>21</v>
      </c>
      <c r="M356" t="s">
        <v>31</v>
      </c>
      <c r="N356" t="s">
        <v>26</v>
      </c>
      <c r="O356">
        <v>1</v>
      </c>
      <c r="P356" t="s">
        <v>73</v>
      </c>
      <c r="Q356">
        <v>4</v>
      </c>
      <c r="R356" s="2">
        <v>0</v>
      </c>
      <c r="S356" t="str">
        <f t="shared" si="10"/>
        <v>mid career adult</v>
      </c>
      <c r="T356" t="str">
        <f t="shared" si="11"/>
        <v>Regular Viewer</v>
      </c>
    </row>
    <row r="357" spans="1:20" x14ac:dyDescent="0.3">
      <c r="A357" t="s">
        <v>416</v>
      </c>
      <c r="B357" s="1">
        <v>44837</v>
      </c>
      <c r="C357">
        <v>2022</v>
      </c>
      <c r="D357" t="s">
        <v>47</v>
      </c>
      <c r="E357" t="s">
        <v>52</v>
      </c>
      <c r="F357" t="s">
        <v>29</v>
      </c>
      <c r="G357">
        <v>18</v>
      </c>
      <c r="H357" t="s">
        <v>22</v>
      </c>
      <c r="I357" t="s">
        <v>37</v>
      </c>
      <c r="J357" s="2">
        <v>199</v>
      </c>
      <c r="K357" t="s">
        <v>40</v>
      </c>
      <c r="L357">
        <v>53</v>
      </c>
      <c r="M357" t="s">
        <v>45</v>
      </c>
      <c r="N357" t="s">
        <v>55</v>
      </c>
      <c r="O357">
        <v>25</v>
      </c>
      <c r="P357" t="s">
        <v>27</v>
      </c>
      <c r="Q357">
        <v>5</v>
      </c>
      <c r="R357" s="2">
        <v>199</v>
      </c>
      <c r="S357" t="str">
        <f t="shared" si="10"/>
        <v>Genz viewer</v>
      </c>
      <c r="T357" t="str">
        <f t="shared" si="11"/>
        <v>Binge watcher</v>
      </c>
    </row>
    <row r="358" spans="1:20" x14ac:dyDescent="0.3">
      <c r="A358" t="s">
        <v>417</v>
      </c>
      <c r="B358" s="1">
        <v>45089</v>
      </c>
      <c r="C358">
        <v>2023</v>
      </c>
      <c r="D358" t="s">
        <v>69</v>
      </c>
      <c r="E358" t="s">
        <v>20</v>
      </c>
      <c r="F358" t="s">
        <v>21</v>
      </c>
      <c r="G358">
        <v>22</v>
      </c>
      <c r="H358" t="s">
        <v>22</v>
      </c>
      <c r="I358" t="s">
        <v>37</v>
      </c>
      <c r="J358" s="2">
        <v>199</v>
      </c>
      <c r="K358" t="s">
        <v>67</v>
      </c>
      <c r="L358">
        <v>42</v>
      </c>
      <c r="M358" t="s">
        <v>25</v>
      </c>
      <c r="N358" t="s">
        <v>26</v>
      </c>
      <c r="O358">
        <v>4</v>
      </c>
      <c r="P358" t="s">
        <v>27</v>
      </c>
      <c r="Q358">
        <v>5</v>
      </c>
      <c r="R358" s="2">
        <v>199</v>
      </c>
      <c r="S358" t="str">
        <f t="shared" si="10"/>
        <v>Genz viewer</v>
      </c>
      <c r="T358" t="str">
        <f t="shared" si="11"/>
        <v>Engaged Viewer</v>
      </c>
    </row>
    <row r="359" spans="1:20" x14ac:dyDescent="0.3">
      <c r="A359" t="s">
        <v>418</v>
      </c>
      <c r="B359" s="1">
        <v>45580</v>
      </c>
      <c r="C359">
        <v>2024</v>
      </c>
      <c r="D359" t="s">
        <v>47</v>
      </c>
      <c r="E359" t="s">
        <v>52</v>
      </c>
      <c r="F359" t="s">
        <v>29</v>
      </c>
      <c r="G359">
        <v>51</v>
      </c>
      <c r="H359" t="s">
        <v>22</v>
      </c>
      <c r="I359" t="s">
        <v>23</v>
      </c>
      <c r="J359" s="2">
        <v>499</v>
      </c>
      <c r="K359" t="s">
        <v>67</v>
      </c>
      <c r="L359">
        <v>37</v>
      </c>
      <c r="M359" t="s">
        <v>45</v>
      </c>
      <c r="N359" t="s">
        <v>26</v>
      </c>
      <c r="O359">
        <v>41</v>
      </c>
      <c r="P359" t="s">
        <v>27</v>
      </c>
      <c r="Q359">
        <v>4</v>
      </c>
      <c r="R359" s="2">
        <v>499</v>
      </c>
      <c r="S359" t="str">
        <f t="shared" si="10"/>
        <v>Mature viewer</v>
      </c>
      <c r="T359" t="str">
        <f t="shared" si="11"/>
        <v>Engaged Viewer</v>
      </c>
    </row>
    <row r="360" spans="1:20" x14ac:dyDescent="0.3">
      <c r="A360" t="s">
        <v>419</v>
      </c>
      <c r="B360" s="1">
        <v>44809</v>
      </c>
      <c r="C360">
        <v>2022</v>
      </c>
      <c r="D360" t="s">
        <v>60</v>
      </c>
      <c r="E360" t="s">
        <v>35</v>
      </c>
      <c r="F360" t="s">
        <v>29</v>
      </c>
      <c r="G360">
        <v>53</v>
      </c>
      <c r="H360" t="s">
        <v>36</v>
      </c>
      <c r="I360" t="s">
        <v>23</v>
      </c>
      <c r="J360" s="2">
        <v>499</v>
      </c>
      <c r="K360" t="s">
        <v>75</v>
      </c>
      <c r="L360">
        <v>46</v>
      </c>
      <c r="M360" t="s">
        <v>31</v>
      </c>
      <c r="N360" t="s">
        <v>55</v>
      </c>
      <c r="O360">
        <v>1</v>
      </c>
      <c r="P360" t="s">
        <v>27</v>
      </c>
      <c r="Q360">
        <v>4</v>
      </c>
      <c r="R360" s="2">
        <v>499</v>
      </c>
      <c r="S360" t="str">
        <f t="shared" si="10"/>
        <v>Mature viewer</v>
      </c>
      <c r="T360" t="str">
        <f t="shared" si="11"/>
        <v>Engaged Viewer</v>
      </c>
    </row>
    <row r="361" spans="1:20" x14ac:dyDescent="0.3">
      <c r="A361" t="s">
        <v>420</v>
      </c>
      <c r="B361" s="1">
        <v>44762</v>
      </c>
      <c r="C361">
        <v>2022</v>
      </c>
      <c r="D361" t="s">
        <v>85</v>
      </c>
      <c r="E361" t="s">
        <v>35</v>
      </c>
      <c r="F361" t="s">
        <v>29</v>
      </c>
      <c r="G361">
        <v>21</v>
      </c>
      <c r="H361" t="s">
        <v>36</v>
      </c>
      <c r="I361" t="s">
        <v>48</v>
      </c>
      <c r="J361" s="2">
        <v>649</v>
      </c>
      <c r="K361" t="s">
        <v>75</v>
      </c>
      <c r="L361">
        <v>45</v>
      </c>
      <c r="M361" t="s">
        <v>31</v>
      </c>
      <c r="N361" t="s">
        <v>58</v>
      </c>
      <c r="O361">
        <v>11</v>
      </c>
      <c r="P361" t="s">
        <v>27</v>
      </c>
      <c r="Q361">
        <v>3</v>
      </c>
      <c r="R361" s="2">
        <v>649</v>
      </c>
      <c r="S361" t="str">
        <f t="shared" si="10"/>
        <v>Genz viewer</v>
      </c>
      <c r="T361" t="str">
        <f t="shared" si="11"/>
        <v>Engaged Viewer</v>
      </c>
    </row>
    <row r="362" spans="1:20" x14ac:dyDescent="0.3">
      <c r="A362" t="s">
        <v>421</v>
      </c>
      <c r="B362" s="1">
        <v>45582</v>
      </c>
      <c r="C362">
        <v>2024</v>
      </c>
      <c r="D362" t="s">
        <v>47</v>
      </c>
      <c r="E362" t="s">
        <v>52</v>
      </c>
      <c r="F362" t="s">
        <v>29</v>
      </c>
      <c r="G362">
        <v>22</v>
      </c>
      <c r="H362" t="s">
        <v>36</v>
      </c>
      <c r="I362" t="s">
        <v>37</v>
      </c>
      <c r="J362" s="2">
        <v>199</v>
      </c>
      <c r="K362" t="s">
        <v>75</v>
      </c>
      <c r="L362">
        <v>21</v>
      </c>
      <c r="M362" t="s">
        <v>25</v>
      </c>
      <c r="N362" t="s">
        <v>55</v>
      </c>
      <c r="O362">
        <v>35</v>
      </c>
      <c r="P362" t="s">
        <v>27</v>
      </c>
      <c r="Q362">
        <v>4</v>
      </c>
      <c r="R362" s="2">
        <v>199</v>
      </c>
      <c r="S362" t="str">
        <f t="shared" si="10"/>
        <v>Genz viewer</v>
      </c>
      <c r="T362" t="str">
        <f t="shared" si="11"/>
        <v>Regular Viewer</v>
      </c>
    </row>
    <row r="363" spans="1:20" x14ac:dyDescent="0.3">
      <c r="A363" t="s">
        <v>422</v>
      </c>
      <c r="B363" s="1">
        <v>44710</v>
      </c>
      <c r="C363">
        <v>2022</v>
      </c>
      <c r="D363" t="s">
        <v>79</v>
      </c>
      <c r="E363" t="s">
        <v>35</v>
      </c>
      <c r="F363" t="s">
        <v>29</v>
      </c>
      <c r="G363">
        <v>44</v>
      </c>
      <c r="H363" t="s">
        <v>22</v>
      </c>
      <c r="I363" t="s">
        <v>23</v>
      </c>
      <c r="J363" s="2">
        <v>499</v>
      </c>
      <c r="K363" t="s">
        <v>30</v>
      </c>
      <c r="L363">
        <v>33</v>
      </c>
      <c r="M363" t="s">
        <v>31</v>
      </c>
      <c r="N363" t="s">
        <v>55</v>
      </c>
      <c r="O363">
        <v>48</v>
      </c>
      <c r="P363" t="s">
        <v>27</v>
      </c>
      <c r="Q363">
        <v>5</v>
      </c>
      <c r="R363" s="2">
        <v>499</v>
      </c>
      <c r="S363" t="str">
        <f t="shared" si="10"/>
        <v>mid career adult</v>
      </c>
      <c r="T363" t="str">
        <f t="shared" si="11"/>
        <v>Regular Viewer</v>
      </c>
    </row>
    <row r="364" spans="1:20" x14ac:dyDescent="0.3">
      <c r="A364" t="s">
        <v>423</v>
      </c>
      <c r="B364" s="1">
        <v>45441</v>
      </c>
      <c r="C364">
        <v>2024</v>
      </c>
      <c r="D364" t="s">
        <v>79</v>
      </c>
      <c r="E364" t="s">
        <v>43</v>
      </c>
      <c r="F364" t="s">
        <v>63</v>
      </c>
      <c r="G364">
        <v>34</v>
      </c>
      <c r="H364" t="s">
        <v>36</v>
      </c>
      <c r="I364" t="s">
        <v>37</v>
      </c>
      <c r="J364" s="2">
        <v>199</v>
      </c>
      <c r="K364" t="s">
        <v>67</v>
      </c>
      <c r="L364">
        <v>26</v>
      </c>
      <c r="M364" t="s">
        <v>31</v>
      </c>
      <c r="N364" t="s">
        <v>58</v>
      </c>
      <c r="O364">
        <v>16</v>
      </c>
      <c r="P364" t="s">
        <v>27</v>
      </c>
      <c r="Q364">
        <v>5</v>
      </c>
      <c r="R364" s="2">
        <v>199</v>
      </c>
      <c r="S364" t="str">
        <f t="shared" si="10"/>
        <v>Young Professionals</v>
      </c>
      <c r="T364" t="str">
        <f t="shared" si="11"/>
        <v>Regular Viewer</v>
      </c>
    </row>
    <row r="365" spans="1:20" x14ac:dyDescent="0.3">
      <c r="A365" t="s">
        <v>424</v>
      </c>
      <c r="B365" s="1">
        <v>44967</v>
      </c>
      <c r="C365">
        <v>2023</v>
      </c>
      <c r="D365" t="s">
        <v>111</v>
      </c>
      <c r="E365" t="s">
        <v>52</v>
      </c>
      <c r="F365" t="s">
        <v>63</v>
      </c>
      <c r="G365">
        <v>49</v>
      </c>
      <c r="H365" t="s">
        <v>22</v>
      </c>
      <c r="I365" t="s">
        <v>37</v>
      </c>
      <c r="J365" s="2">
        <v>199</v>
      </c>
      <c r="K365" t="s">
        <v>75</v>
      </c>
      <c r="L365">
        <v>22</v>
      </c>
      <c r="M365" t="s">
        <v>41</v>
      </c>
      <c r="N365" t="s">
        <v>58</v>
      </c>
      <c r="O365">
        <v>30</v>
      </c>
      <c r="P365" t="s">
        <v>27</v>
      </c>
      <c r="Q365">
        <v>5</v>
      </c>
      <c r="R365" s="2">
        <v>199</v>
      </c>
      <c r="S365" t="str">
        <f t="shared" si="10"/>
        <v>Mature viewer</v>
      </c>
      <c r="T365" t="str">
        <f t="shared" si="11"/>
        <v>Regular Viewer</v>
      </c>
    </row>
    <row r="366" spans="1:20" x14ac:dyDescent="0.3">
      <c r="A366" t="s">
        <v>425</v>
      </c>
      <c r="B366" s="1">
        <v>44940</v>
      </c>
      <c r="C366">
        <v>2023</v>
      </c>
      <c r="D366" t="s">
        <v>62</v>
      </c>
      <c r="E366" t="s">
        <v>52</v>
      </c>
      <c r="F366" t="s">
        <v>21</v>
      </c>
      <c r="G366">
        <v>43</v>
      </c>
      <c r="H366" t="s">
        <v>22</v>
      </c>
      <c r="I366" t="s">
        <v>37</v>
      </c>
      <c r="J366" s="2">
        <v>199</v>
      </c>
      <c r="K366" t="s">
        <v>30</v>
      </c>
      <c r="L366">
        <v>48</v>
      </c>
      <c r="M366" t="s">
        <v>25</v>
      </c>
      <c r="N366" t="s">
        <v>58</v>
      </c>
      <c r="O366">
        <v>7</v>
      </c>
      <c r="P366" t="s">
        <v>27</v>
      </c>
      <c r="Q366">
        <v>4</v>
      </c>
      <c r="R366" s="2">
        <v>199</v>
      </c>
      <c r="S366" t="str">
        <f t="shared" si="10"/>
        <v>mid career adult</v>
      </c>
      <c r="T366" t="str">
        <f t="shared" si="11"/>
        <v>Engaged Viewer</v>
      </c>
    </row>
    <row r="367" spans="1:20" x14ac:dyDescent="0.3">
      <c r="A367" t="s">
        <v>426</v>
      </c>
      <c r="B367" s="1">
        <v>45772</v>
      </c>
      <c r="C367">
        <v>2025</v>
      </c>
      <c r="D367" t="s">
        <v>51</v>
      </c>
      <c r="E367" t="s">
        <v>52</v>
      </c>
      <c r="F367" t="s">
        <v>63</v>
      </c>
      <c r="G367">
        <v>46</v>
      </c>
      <c r="H367" t="s">
        <v>36</v>
      </c>
      <c r="I367" t="s">
        <v>48</v>
      </c>
      <c r="J367" s="2">
        <v>649</v>
      </c>
      <c r="K367" t="s">
        <v>57</v>
      </c>
      <c r="L367">
        <v>22</v>
      </c>
      <c r="M367" t="s">
        <v>25</v>
      </c>
      <c r="N367" t="s">
        <v>26</v>
      </c>
      <c r="O367">
        <v>36</v>
      </c>
      <c r="P367" t="s">
        <v>27</v>
      </c>
      <c r="Q367">
        <v>5</v>
      </c>
      <c r="R367" s="2">
        <v>649</v>
      </c>
      <c r="S367" t="str">
        <f t="shared" si="10"/>
        <v>Mature viewer</v>
      </c>
      <c r="T367" t="str">
        <f t="shared" si="11"/>
        <v>Regular Viewer</v>
      </c>
    </row>
    <row r="368" spans="1:20" x14ac:dyDescent="0.3">
      <c r="A368" t="s">
        <v>427</v>
      </c>
      <c r="B368" s="1">
        <v>45122</v>
      </c>
      <c r="C368">
        <v>2023</v>
      </c>
      <c r="D368" t="s">
        <v>85</v>
      </c>
      <c r="E368" t="s">
        <v>20</v>
      </c>
      <c r="F368" t="s">
        <v>63</v>
      </c>
      <c r="G368">
        <v>29</v>
      </c>
      <c r="H368" t="s">
        <v>22</v>
      </c>
      <c r="I368" t="s">
        <v>37</v>
      </c>
      <c r="J368" s="2">
        <v>199</v>
      </c>
      <c r="K368" t="s">
        <v>53</v>
      </c>
      <c r="L368">
        <v>34</v>
      </c>
      <c r="M368" t="s">
        <v>41</v>
      </c>
      <c r="N368" t="s">
        <v>32</v>
      </c>
      <c r="O368">
        <v>46</v>
      </c>
      <c r="P368" t="s">
        <v>27</v>
      </c>
      <c r="Q368">
        <v>4</v>
      </c>
      <c r="R368" s="2">
        <v>199</v>
      </c>
      <c r="S368" t="str">
        <f t="shared" si="10"/>
        <v>Young Professionals</v>
      </c>
      <c r="T368" t="str">
        <f t="shared" si="11"/>
        <v>Regular Viewer</v>
      </c>
    </row>
    <row r="369" spans="1:20" x14ac:dyDescent="0.3">
      <c r="A369" t="s">
        <v>428</v>
      </c>
      <c r="B369" s="1">
        <v>45387</v>
      </c>
      <c r="C369">
        <v>2024</v>
      </c>
      <c r="D369" t="s">
        <v>51</v>
      </c>
      <c r="E369" t="s">
        <v>35</v>
      </c>
      <c r="F369" t="s">
        <v>29</v>
      </c>
      <c r="G369">
        <v>32</v>
      </c>
      <c r="H369" t="s">
        <v>36</v>
      </c>
      <c r="I369" t="s">
        <v>37</v>
      </c>
      <c r="J369" s="2">
        <v>199</v>
      </c>
      <c r="K369" t="s">
        <v>24</v>
      </c>
      <c r="L369">
        <v>24</v>
      </c>
      <c r="M369" t="s">
        <v>41</v>
      </c>
      <c r="N369" t="s">
        <v>55</v>
      </c>
      <c r="O369">
        <v>14</v>
      </c>
      <c r="P369" t="s">
        <v>27</v>
      </c>
      <c r="Q369">
        <v>3</v>
      </c>
      <c r="R369" s="2">
        <v>199</v>
      </c>
      <c r="S369" t="str">
        <f t="shared" si="10"/>
        <v>Young Professionals</v>
      </c>
      <c r="T369" t="str">
        <f t="shared" si="11"/>
        <v>Regular Viewer</v>
      </c>
    </row>
    <row r="370" spans="1:20" x14ac:dyDescent="0.3">
      <c r="A370" t="s">
        <v>429</v>
      </c>
      <c r="B370" s="1">
        <v>45710</v>
      </c>
      <c r="C370">
        <v>2025</v>
      </c>
      <c r="D370" t="s">
        <v>111</v>
      </c>
      <c r="E370" t="s">
        <v>43</v>
      </c>
      <c r="F370" t="s">
        <v>29</v>
      </c>
      <c r="G370">
        <v>33</v>
      </c>
      <c r="H370" t="s">
        <v>22</v>
      </c>
      <c r="I370" t="s">
        <v>37</v>
      </c>
      <c r="J370" s="2">
        <v>199</v>
      </c>
      <c r="K370" t="s">
        <v>49</v>
      </c>
      <c r="L370">
        <v>29</v>
      </c>
      <c r="M370" t="s">
        <v>31</v>
      </c>
      <c r="N370" t="s">
        <v>32</v>
      </c>
      <c r="O370">
        <v>20</v>
      </c>
      <c r="P370" t="s">
        <v>27</v>
      </c>
      <c r="Q370">
        <v>5</v>
      </c>
      <c r="R370" s="2">
        <v>199</v>
      </c>
      <c r="S370" t="str">
        <f t="shared" si="10"/>
        <v>Young Professionals</v>
      </c>
      <c r="T370" t="str">
        <f t="shared" si="11"/>
        <v>Regular Viewer</v>
      </c>
    </row>
    <row r="371" spans="1:20" x14ac:dyDescent="0.3">
      <c r="A371" t="s">
        <v>430</v>
      </c>
      <c r="B371" s="1">
        <v>45689</v>
      </c>
      <c r="C371">
        <v>2025</v>
      </c>
      <c r="D371" t="s">
        <v>111</v>
      </c>
      <c r="E371" t="s">
        <v>52</v>
      </c>
      <c r="F371" t="s">
        <v>63</v>
      </c>
      <c r="G371">
        <v>47</v>
      </c>
      <c r="H371" t="s">
        <v>22</v>
      </c>
      <c r="I371" t="s">
        <v>48</v>
      </c>
      <c r="J371" s="2">
        <v>649</v>
      </c>
      <c r="K371" t="s">
        <v>49</v>
      </c>
      <c r="L371">
        <v>60</v>
      </c>
      <c r="M371" t="s">
        <v>41</v>
      </c>
      <c r="N371" t="s">
        <v>26</v>
      </c>
      <c r="O371">
        <v>14</v>
      </c>
      <c r="P371" t="s">
        <v>73</v>
      </c>
      <c r="Q371">
        <v>5</v>
      </c>
      <c r="R371" s="2">
        <v>0</v>
      </c>
      <c r="S371" t="str">
        <f t="shared" si="10"/>
        <v>Mature viewer</v>
      </c>
      <c r="T371" t="str">
        <f t="shared" si="11"/>
        <v>Binge watcher</v>
      </c>
    </row>
    <row r="372" spans="1:20" x14ac:dyDescent="0.3">
      <c r="A372" t="s">
        <v>431</v>
      </c>
      <c r="B372" s="1">
        <v>44998</v>
      </c>
      <c r="C372">
        <v>2023</v>
      </c>
      <c r="D372" t="s">
        <v>66</v>
      </c>
      <c r="E372" t="s">
        <v>43</v>
      </c>
      <c r="F372" t="s">
        <v>21</v>
      </c>
      <c r="G372">
        <v>23</v>
      </c>
      <c r="H372" t="s">
        <v>22</v>
      </c>
      <c r="I372" t="s">
        <v>37</v>
      </c>
      <c r="J372" s="2">
        <v>199</v>
      </c>
      <c r="K372" t="s">
        <v>24</v>
      </c>
      <c r="L372">
        <v>42</v>
      </c>
      <c r="M372" t="s">
        <v>31</v>
      </c>
      <c r="N372" t="s">
        <v>58</v>
      </c>
      <c r="O372">
        <v>30</v>
      </c>
      <c r="P372" t="s">
        <v>73</v>
      </c>
      <c r="Q372">
        <v>3</v>
      </c>
      <c r="R372" s="2">
        <v>0</v>
      </c>
      <c r="S372" t="str">
        <f t="shared" si="10"/>
        <v>Genz viewer</v>
      </c>
      <c r="T372" t="str">
        <f t="shared" si="11"/>
        <v>Engaged Viewer</v>
      </c>
    </row>
    <row r="373" spans="1:20" x14ac:dyDescent="0.3">
      <c r="A373" t="s">
        <v>432</v>
      </c>
      <c r="B373" s="1">
        <v>45922</v>
      </c>
      <c r="C373">
        <v>2025</v>
      </c>
      <c r="D373" t="s">
        <v>60</v>
      </c>
      <c r="E373" t="s">
        <v>43</v>
      </c>
      <c r="F373" t="s">
        <v>29</v>
      </c>
      <c r="G373">
        <v>24</v>
      </c>
      <c r="H373" t="s">
        <v>36</v>
      </c>
      <c r="I373" t="s">
        <v>23</v>
      </c>
      <c r="J373" s="2">
        <v>499</v>
      </c>
      <c r="K373" t="s">
        <v>30</v>
      </c>
      <c r="L373">
        <v>57</v>
      </c>
      <c r="M373" t="s">
        <v>25</v>
      </c>
      <c r="N373" t="s">
        <v>55</v>
      </c>
      <c r="O373">
        <v>30</v>
      </c>
      <c r="P373" t="s">
        <v>27</v>
      </c>
      <c r="Q373">
        <v>5</v>
      </c>
      <c r="R373" s="2">
        <v>499</v>
      </c>
      <c r="S373" t="str">
        <f t="shared" si="10"/>
        <v>Genz viewer</v>
      </c>
      <c r="T373" t="str">
        <f t="shared" si="11"/>
        <v>Binge watcher</v>
      </c>
    </row>
    <row r="374" spans="1:20" x14ac:dyDescent="0.3">
      <c r="A374" t="s">
        <v>433</v>
      </c>
      <c r="B374" s="1">
        <v>44620</v>
      </c>
      <c r="C374">
        <v>2022</v>
      </c>
      <c r="D374" t="s">
        <v>111</v>
      </c>
      <c r="E374" t="s">
        <v>43</v>
      </c>
      <c r="F374" t="s">
        <v>21</v>
      </c>
      <c r="G374">
        <v>21</v>
      </c>
      <c r="H374" t="s">
        <v>22</v>
      </c>
      <c r="I374" t="s">
        <v>37</v>
      </c>
      <c r="J374" s="2">
        <v>199</v>
      </c>
      <c r="K374" t="s">
        <v>44</v>
      </c>
      <c r="L374">
        <v>51</v>
      </c>
      <c r="M374" t="s">
        <v>31</v>
      </c>
      <c r="N374" t="s">
        <v>26</v>
      </c>
      <c r="O374">
        <v>6</v>
      </c>
      <c r="P374" t="s">
        <v>73</v>
      </c>
      <c r="Q374">
        <v>4</v>
      </c>
      <c r="R374" s="2">
        <v>0</v>
      </c>
      <c r="S374" t="str">
        <f t="shared" si="10"/>
        <v>Genz viewer</v>
      </c>
      <c r="T374" t="str">
        <f t="shared" si="11"/>
        <v>Binge watcher</v>
      </c>
    </row>
    <row r="375" spans="1:20" x14ac:dyDescent="0.3">
      <c r="A375" t="s">
        <v>434</v>
      </c>
      <c r="B375" s="1">
        <v>45840</v>
      </c>
      <c r="C375">
        <v>2025</v>
      </c>
      <c r="D375" t="s">
        <v>85</v>
      </c>
      <c r="E375" t="s">
        <v>43</v>
      </c>
      <c r="F375" t="s">
        <v>63</v>
      </c>
      <c r="G375">
        <v>24</v>
      </c>
      <c r="H375" t="s">
        <v>22</v>
      </c>
      <c r="I375" t="s">
        <v>37</v>
      </c>
      <c r="J375" s="2">
        <v>199</v>
      </c>
      <c r="K375" t="s">
        <v>75</v>
      </c>
      <c r="L375">
        <v>30</v>
      </c>
      <c r="M375" t="s">
        <v>45</v>
      </c>
      <c r="N375" t="s">
        <v>26</v>
      </c>
      <c r="O375">
        <v>11</v>
      </c>
      <c r="P375" t="s">
        <v>73</v>
      </c>
      <c r="Q375">
        <v>4</v>
      </c>
      <c r="R375" s="2">
        <v>0</v>
      </c>
      <c r="S375" t="str">
        <f t="shared" si="10"/>
        <v>Genz viewer</v>
      </c>
      <c r="T375" t="str">
        <f t="shared" si="11"/>
        <v>Regular Viewer</v>
      </c>
    </row>
    <row r="376" spans="1:20" x14ac:dyDescent="0.3">
      <c r="A376" t="s">
        <v>435</v>
      </c>
      <c r="B376" s="1">
        <v>45442</v>
      </c>
      <c r="C376">
        <v>2024</v>
      </c>
      <c r="D376" t="s">
        <v>79</v>
      </c>
      <c r="E376" t="s">
        <v>35</v>
      </c>
      <c r="F376" t="s">
        <v>63</v>
      </c>
      <c r="G376">
        <v>52</v>
      </c>
      <c r="H376" t="s">
        <v>36</v>
      </c>
      <c r="I376" t="s">
        <v>23</v>
      </c>
      <c r="J376" s="2">
        <v>499</v>
      </c>
      <c r="K376" t="s">
        <v>44</v>
      </c>
      <c r="L376">
        <v>24</v>
      </c>
      <c r="M376" t="s">
        <v>25</v>
      </c>
      <c r="N376" t="s">
        <v>58</v>
      </c>
      <c r="O376">
        <v>23</v>
      </c>
      <c r="P376" t="s">
        <v>27</v>
      </c>
      <c r="Q376">
        <v>5</v>
      </c>
      <c r="R376" s="2">
        <v>499</v>
      </c>
      <c r="S376" t="str">
        <f t="shared" si="10"/>
        <v>Mature viewer</v>
      </c>
      <c r="T376" t="str">
        <f t="shared" si="11"/>
        <v>Regular Viewer</v>
      </c>
    </row>
    <row r="377" spans="1:20" x14ac:dyDescent="0.3">
      <c r="A377" t="s">
        <v>436</v>
      </c>
      <c r="B377" s="1">
        <v>45662</v>
      </c>
      <c r="C377">
        <v>2025</v>
      </c>
      <c r="D377" t="s">
        <v>62</v>
      </c>
      <c r="E377" t="s">
        <v>43</v>
      </c>
      <c r="F377" t="s">
        <v>21</v>
      </c>
      <c r="G377">
        <v>32</v>
      </c>
      <c r="H377" t="s">
        <v>22</v>
      </c>
      <c r="I377" t="s">
        <v>48</v>
      </c>
      <c r="J377" s="2">
        <v>649</v>
      </c>
      <c r="K377" t="s">
        <v>57</v>
      </c>
      <c r="L377">
        <v>43</v>
      </c>
      <c r="M377" t="s">
        <v>25</v>
      </c>
      <c r="N377" t="s">
        <v>55</v>
      </c>
      <c r="O377">
        <v>22</v>
      </c>
      <c r="P377" t="s">
        <v>27</v>
      </c>
      <c r="Q377">
        <v>5</v>
      </c>
      <c r="R377" s="2">
        <v>649</v>
      </c>
      <c r="S377" t="str">
        <f t="shared" si="10"/>
        <v>Young Professionals</v>
      </c>
      <c r="T377" t="str">
        <f t="shared" si="11"/>
        <v>Engaged Viewer</v>
      </c>
    </row>
    <row r="378" spans="1:20" x14ac:dyDescent="0.3">
      <c r="A378" t="s">
        <v>437</v>
      </c>
      <c r="B378" s="1">
        <v>44718</v>
      </c>
      <c r="C378">
        <v>2022</v>
      </c>
      <c r="D378" t="s">
        <v>69</v>
      </c>
      <c r="E378" t="s">
        <v>52</v>
      </c>
      <c r="F378" t="s">
        <v>29</v>
      </c>
      <c r="G378">
        <v>24</v>
      </c>
      <c r="H378" t="s">
        <v>36</v>
      </c>
      <c r="I378" t="s">
        <v>23</v>
      </c>
      <c r="J378" s="2">
        <v>499</v>
      </c>
      <c r="K378" t="s">
        <v>53</v>
      </c>
      <c r="L378">
        <v>33</v>
      </c>
      <c r="M378" t="s">
        <v>41</v>
      </c>
      <c r="N378" t="s">
        <v>26</v>
      </c>
      <c r="O378">
        <v>42</v>
      </c>
      <c r="P378" t="s">
        <v>27</v>
      </c>
      <c r="Q378">
        <v>3</v>
      </c>
      <c r="R378" s="2">
        <v>499</v>
      </c>
      <c r="S378" t="str">
        <f t="shared" si="10"/>
        <v>Genz viewer</v>
      </c>
      <c r="T378" t="str">
        <f t="shared" si="11"/>
        <v>Regular Viewer</v>
      </c>
    </row>
    <row r="379" spans="1:20" x14ac:dyDescent="0.3">
      <c r="A379" t="s">
        <v>438</v>
      </c>
      <c r="B379" s="1">
        <v>45466</v>
      </c>
      <c r="C379">
        <v>2024</v>
      </c>
      <c r="D379" t="s">
        <v>69</v>
      </c>
      <c r="E379" t="s">
        <v>20</v>
      </c>
      <c r="F379" t="s">
        <v>29</v>
      </c>
      <c r="G379">
        <v>43</v>
      </c>
      <c r="H379" t="s">
        <v>36</v>
      </c>
      <c r="I379" t="s">
        <v>23</v>
      </c>
      <c r="J379" s="2">
        <v>499</v>
      </c>
      <c r="K379" t="s">
        <v>75</v>
      </c>
      <c r="L379">
        <v>43</v>
      </c>
      <c r="M379" t="s">
        <v>25</v>
      </c>
      <c r="N379" t="s">
        <v>58</v>
      </c>
      <c r="O379">
        <v>46</v>
      </c>
      <c r="P379" t="s">
        <v>27</v>
      </c>
      <c r="Q379">
        <v>4</v>
      </c>
      <c r="R379" s="2">
        <v>499</v>
      </c>
      <c r="S379" t="str">
        <f t="shared" si="10"/>
        <v>mid career adult</v>
      </c>
      <c r="T379" t="str">
        <f t="shared" si="11"/>
        <v>Engaged Viewer</v>
      </c>
    </row>
    <row r="380" spans="1:20" x14ac:dyDescent="0.3">
      <c r="A380" t="s">
        <v>439</v>
      </c>
      <c r="B380" s="1">
        <v>44750</v>
      </c>
      <c r="C380">
        <v>2022</v>
      </c>
      <c r="D380" t="s">
        <v>85</v>
      </c>
      <c r="E380" t="s">
        <v>20</v>
      </c>
      <c r="F380" t="s">
        <v>63</v>
      </c>
      <c r="G380">
        <v>34</v>
      </c>
      <c r="H380" t="s">
        <v>22</v>
      </c>
      <c r="I380" t="s">
        <v>23</v>
      </c>
      <c r="J380" s="2">
        <v>499</v>
      </c>
      <c r="K380" t="s">
        <v>67</v>
      </c>
      <c r="L380">
        <v>21</v>
      </c>
      <c r="M380" t="s">
        <v>41</v>
      </c>
      <c r="N380" t="s">
        <v>55</v>
      </c>
      <c r="O380">
        <v>8</v>
      </c>
      <c r="P380" t="s">
        <v>27</v>
      </c>
      <c r="Q380">
        <v>4</v>
      </c>
      <c r="R380" s="2">
        <v>499</v>
      </c>
      <c r="S380" t="str">
        <f t="shared" si="10"/>
        <v>Young Professionals</v>
      </c>
      <c r="T380" t="str">
        <f t="shared" si="11"/>
        <v>Regular Viewer</v>
      </c>
    </row>
    <row r="381" spans="1:20" x14ac:dyDescent="0.3">
      <c r="A381" t="s">
        <v>440</v>
      </c>
      <c r="B381" s="1">
        <v>44688</v>
      </c>
      <c r="C381">
        <v>2022</v>
      </c>
      <c r="D381" t="s">
        <v>79</v>
      </c>
      <c r="E381" t="s">
        <v>35</v>
      </c>
      <c r="F381" t="s">
        <v>21</v>
      </c>
      <c r="G381">
        <v>37</v>
      </c>
      <c r="H381" t="s">
        <v>22</v>
      </c>
      <c r="I381" t="s">
        <v>48</v>
      </c>
      <c r="J381" s="2">
        <v>649</v>
      </c>
      <c r="K381" t="s">
        <v>24</v>
      </c>
      <c r="L381">
        <v>49</v>
      </c>
      <c r="M381" t="s">
        <v>41</v>
      </c>
      <c r="N381" t="s">
        <v>32</v>
      </c>
      <c r="O381">
        <v>32</v>
      </c>
      <c r="P381" t="s">
        <v>27</v>
      </c>
      <c r="Q381">
        <v>4</v>
      </c>
      <c r="R381" s="2">
        <v>649</v>
      </c>
      <c r="S381" t="str">
        <f t="shared" si="10"/>
        <v>mid career adult</v>
      </c>
      <c r="T381" t="str">
        <f t="shared" si="11"/>
        <v>Engaged Viewer</v>
      </c>
    </row>
    <row r="382" spans="1:20" x14ac:dyDescent="0.3">
      <c r="A382" t="s">
        <v>441</v>
      </c>
      <c r="B382" s="1">
        <v>45787</v>
      </c>
      <c r="C382">
        <v>2025</v>
      </c>
      <c r="D382" t="s">
        <v>79</v>
      </c>
      <c r="E382" t="s">
        <v>43</v>
      </c>
      <c r="F382" t="s">
        <v>29</v>
      </c>
      <c r="G382">
        <v>26</v>
      </c>
      <c r="H382" t="s">
        <v>22</v>
      </c>
      <c r="I382" t="s">
        <v>23</v>
      </c>
      <c r="J382" s="2">
        <v>499</v>
      </c>
      <c r="K382" t="s">
        <v>67</v>
      </c>
      <c r="L382">
        <v>42</v>
      </c>
      <c r="M382" t="s">
        <v>45</v>
      </c>
      <c r="N382" t="s">
        <v>32</v>
      </c>
      <c r="O382">
        <v>38</v>
      </c>
      <c r="P382" t="s">
        <v>27</v>
      </c>
      <c r="Q382">
        <v>5</v>
      </c>
      <c r="R382" s="2">
        <v>499</v>
      </c>
      <c r="S382" t="str">
        <f t="shared" si="10"/>
        <v>Young Professionals</v>
      </c>
      <c r="T382" t="str">
        <f t="shared" si="11"/>
        <v>Engaged Viewer</v>
      </c>
    </row>
    <row r="383" spans="1:20" x14ac:dyDescent="0.3">
      <c r="A383" t="s">
        <v>442</v>
      </c>
      <c r="B383" s="1">
        <v>45462</v>
      </c>
      <c r="C383">
        <v>2024</v>
      </c>
      <c r="D383" t="s">
        <v>69</v>
      </c>
      <c r="E383" t="s">
        <v>20</v>
      </c>
      <c r="F383" t="s">
        <v>29</v>
      </c>
      <c r="G383">
        <v>48</v>
      </c>
      <c r="H383" t="s">
        <v>22</v>
      </c>
      <c r="I383" t="s">
        <v>48</v>
      </c>
      <c r="J383" s="2">
        <v>649</v>
      </c>
      <c r="K383" t="s">
        <v>44</v>
      </c>
      <c r="L383">
        <v>52</v>
      </c>
      <c r="M383" t="s">
        <v>31</v>
      </c>
      <c r="N383" t="s">
        <v>55</v>
      </c>
      <c r="O383">
        <v>9</v>
      </c>
      <c r="P383" t="s">
        <v>27</v>
      </c>
      <c r="Q383">
        <v>4</v>
      </c>
      <c r="R383" s="2">
        <v>649</v>
      </c>
      <c r="S383" t="str">
        <f t="shared" si="10"/>
        <v>Mature viewer</v>
      </c>
      <c r="T383" t="str">
        <f t="shared" si="11"/>
        <v>Binge watcher</v>
      </c>
    </row>
    <row r="384" spans="1:20" x14ac:dyDescent="0.3">
      <c r="A384" t="s">
        <v>443</v>
      </c>
      <c r="B384" s="1">
        <v>45291</v>
      </c>
      <c r="C384">
        <v>2023</v>
      </c>
      <c r="D384" t="s">
        <v>39</v>
      </c>
      <c r="E384" t="s">
        <v>43</v>
      </c>
      <c r="F384" t="s">
        <v>29</v>
      </c>
      <c r="G384">
        <v>19</v>
      </c>
      <c r="H384" t="s">
        <v>22</v>
      </c>
      <c r="I384" t="s">
        <v>37</v>
      </c>
      <c r="J384" s="2">
        <v>199</v>
      </c>
      <c r="K384" t="s">
        <v>30</v>
      </c>
      <c r="L384">
        <v>60</v>
      </c>
      <c r="M384" t="s">
        <v>45</v>
      </c>
      <c r="N384" t="s">
        <v>26</v>
      </c>
      <c r="O384">
        <v>44</v>
      </c>
      <c r="P384" t="s">
        <v>27</v>
      </c>
      <c r="Q384">
        <v>5</v>
      </c>
      <c r="R384" s="2">
        <v>199</v>
      </c>
      <c r="S384" t="str">
        <f t="shared" si="10"/>
        <v>Genz viewer</v>
      </c>
      <c r="T384" t="str">
        <f t="shared" si="11"/>
        <v>Binge watcher</v>
      </c>
    </row>
    <row r="385" spans="1:20" x14ac:dyDescent="0.3">
      <c r="A385" t="s">
        <v>444</v>
      </c>
      <c r="B385" s="1">
        <v>45343</v>
      </c>
      <c r="C385">
        <v>2024</v>
      </c>
      <c r="D385" t="s">
        <v>111</v>
      </c>
      <c r="E385" t="s">
        <v>52</v>
      </c>
      <c r="F385" t="s">
        <v>63</v>
      </c>
      <c r="G385">
        <v>19</v>
      </c>
      <c r="H385" t="s">
        <v>22</v>
      </c>
      <c r="I385" t="s">
        <v>48</v>
      </c>
      <c r="J385" s="2">
        <v>649</v>
      </c>
      <c r="K385" t="s">
        <v>49</v>
      </c>
      <c r="L385">
        <v>39</v>
      </c>
      <c r="M385" t="s">
        <v>45</v>
      </c>
      <c r="N385" t="s">
        <v>55</v>
      </c>
      <c r="O385">
        <v>39</v>
      </c>
      <c r="P385" t="s">
        <v>27</v>
      </c>
      <c r="Q385">
        <v>4</v>
      </c>
      <c r="R385" s="2">
        <v>649</v>
      </c>
      <c r="S385" t="str">
        <f t="shared" si="10"/>
        <v>Genz viewer</v>
      </c>
      <c r="T385" t="str">
        <f t="shared" si="11"/>
        <v>Engaged Viewer</v>
      </c>
    </row>
    <row r="386" spans="1:20" x14ac:dyDescent="0.3">
      <c r="A386" t="s">
        <v>445</v>
      </c>
      <c r="B386" s="1">
        <v>45438</v>
      </c>
      <c r="C386">
        <v>2024</v>
      </c>
      <c r="D386" t="s">
        <v>79</v>
      </c>
      <c r="E386" t="s">
        <v>35</v>
      </c>
      <c r="F386" t="s">
        <v>63</v>
      </c>
      <c r="G386">
        <v>21</v>
      </c>
      <c r="H386" t="s">
        <v>36</v>
      </c>
      <c r="I386" t="s">
        <v>48</v>
      </c>
      <c r="J386" s="2">
        <v>649</v>
      </c>
      <c r="K386" t="s">
        <v>49</v>
      </c>
      <c r="L386">
        <v>51</v>
      </c>
      <c r="M386" t="s">
        <v>25</v>
      </c>
      <c r="N386" t="s">
        <v>55</v>
      </c>
      <c r="O386">
        <v>36</v>
      </c>
      <c r="P386" t="s">
        <v>27</v>
      </c>
      <c r="Q386">
        <v>3</v>
      </c>
      <c r="R386" s="2">
        <v>649</v>
      </c>
      <c r="S386" t="str">
        <f t="shared" si="10"/>
        <v>Genz viewer</v>
      </c>
      <c r="T386" t="str">
        <f t="shared" si="11"/>
        <v>Binge watcher</v>
      </c>
    </row>
    <row r="387" spans="1:20" x14ac:dyDescent="0.3">
      <c r="A387" t="s">
        <v>446</v>
      </c>
      <c r="B387" s="1">
        <v>45398</v>
      </c>
      <c r="C387">
        <v>2024</v>
      </c>
      <c r="D387" t="s">
        <v>51</v>
      </c>
      <c r="E387" t="s">
        <v>43</v>
      </c>
      <c r="F387" t="s">
        <v>21</v>
      </c>
      <c r="G387">
        <v>51</v>
      </c>
      <c r="H387" t="s">
        <v>22</v>
      </c>
      <c r="I387" t="s">
        <v>37</v>
      </c>
      <c r="J387" s="2">
        <v>199</v>
      </c>
      <c r="K387" t="s">
        <v>57</v>
      </c>
      <c r="L387">
        <v>46</v>
      </c>
      <c r="M387" t="s">
        <v>41</v>
      </c>
      <c r="N387" t="s">
        <v>58</v>
      </c>
      <c r="O387">
        <v>30</v>
      </c>
      <c r="P387" t="s">
        <v>73</v>
      </c>
      <c r="Q387">
        <v>5</v>
      </c>
      <c r="R387" s="2">
        <v>0</v>
      </c>
      <c r="S387" t="str">
        <f t="shared" ref="S387:S450" si="12">IF(G387&lt;=24,"Genz viewer",IF(G387&lt;=34,"Young Professionals",IF(G387&lt;=44,"mid career adult",IF(G387&lt;=54,"Mature viewer","senior viewer"))))</f>
        <v>Mature viewer</v>
      </c>
      <c r="T387" t="str">
        <f t="shared" ref="T387:T450" si="13">IF(L387&lt;=20,"Casual Viewer",IF(L387&lt;=35,"Regular Viewer", IF(L387&lt;=50,"Engaged Viewer","Binge watcher")))</f>
        <v>Engaged Viewer</v>
      </c>
    </row>
    <row r="388" spans="1:20" x14ac:dyDescent="0.3">
      <c r="A388" t="s">
        <v>447</v>
      </c>
      <c r="B388" s="1">
        <v>45036</v>
      </c>
      <c r="C388">
        <v>2023</v>
      </c>
      <c r="D388" t="s">
        <v>51</v>
      </c>
      <c r="E388" t="s">
        <v>52</v>
      </c>
      <c r="F388" t="s">
        <v>63</v>
      </c>
      <c r="G388">
        <v>55</v>
      </c>
      <c r="H388" t="s">
        <v>36</v>
      </c>
      <c r="I388" t="s">
        <v>23</v>
      </c>
      <c r="J388" s="2">
        <v>499</v>
      </c>
      <c r="K388" t="s">
        <v>57</v>
      </c>
      <c r="L388">
        <v>24</v>
      </c>
      <c r="M388" t="s">
        <v>25</v>
      </c>
      <c r="N388" t="s">
        <v>32</v>
      </c>
      <c r="O388">
        <v>7</v>
      </c>
      <c r="P388" t="s">
        <v>27</v>
      </c>
      <c r="Q388">
        <v>4</v>
      </c>
      <c r="R388" s="2">
        <v>499</v>
      </c>
      <c r="S388" t="str">
        <f t="shared" si="12"/>
        <v>senior viewer</v>
      </c>
      <c r="T388" t="str">
        <f t="shared" si="13"/>
        <v>Regular Viewer</v>
      </c>
    </row>
    <row r="389" spans="1:20" x14ac:dyDescent="0.3">
      <c r="A389" t="s">
        <v>448</v>
      </c>
      <c r="B389" s="1">
        <v>45647</v>
      </c>
      <c r="C389">
        <v>2024</v>
      </c>
      <c r="D389" t="s">
        <v>39</v>
      </c>
      <c r="E389" t="s">
        <v>35</v>
      </c>
      <c r="F389" t="s">
        <v>29</v>
      </c>
      <c r="G389">
        <v>24</v>
      </c>
      <c r="H389" t="s">
        <v>22</v>
      </c>
      <c r="I389" t="s">
        <v>48</v>
      </c>
      <c r="J389" s="2">
        <v>649</v>
      </c>
      <c r="K389" t="s">
        <v>49</v>
      </c>
      <c r="L389">
        <v>28</v>
      </c>
      <c r="M389" t="s">
        <v>25</v>
      </c>
      <c r="N389" t="s">
        <v>55</v>
      </c>
      <c r="O389">
        <v>5</v>
      </c>
      <c r="P389" t="s">
        <v>27</v>
      </c>
      <c r="Q389">
        <v>3</v>
      </c>
      <c r="R389" s="2">
        <v>649</v>
      </c>
      <c r="S389" t="str">
        <f t="shared" si="12"/>
        <v>Genz viewer</v>
      </c>
      <c r="T389" t="str">
        <f t="shared" si="13"/>
        <v>Regular Viewer</v>
      </c>
    </row>
    <row r="390" spans="1:20" x14ac:dyDescent="0.3">
      <c r="A390" t="s">
        <v>449</v>
      </c>
      <c r="B390" s="1">
        <v>44702</v>
      </c>
      <c r="C390">
        <v>2022</v>
      </c>
      <c r="D390" t="s">
        <v>79</v>
      </c>
      <c r="E390" t="s">
        <v>52</v>
      </c>
      <c r="F390" t="s">
        <v>63</v>
      </c>
      <c r="G390">
        <v>50</v>
      </c>
      <c r="H390" t="s">
        <v>22</v>
      </c>
      <c r="I390" t="s">
        <v>23</v>
      </c>
      <c r="J390" s="2">
        <v>499</v>
      </c>
      <c r="K390" t="s">
        <v>57</v>
      </c>
      <c r="L390">
        <v>47</v>
      </c>
      <c r="M390" t="s">
        <v>41</v>
      </c>
      <c r="N390" t="s">
        <v>55</v>
      </c>
      <c r="O390">
        <v>38</v>
      </c>
      <c r="P390" t="s">
        <v>73</v>
      </c>
      <c r="Q390">
        <v>2</v>
      </c>
      <c r="R390" s="2">
        <v>0</v>
      </c>
      <c r="S390" t="str">
        <f t="shared" si="12"/>
        <v>Mature viewer</v>
      </c>
      <c r="T390" t="str">
        <f t="shared" si="13"/>
        <v>Engaged Viewer</v>
      </c>
    </row>
    <row r="391" spans="1:20" x14ac:dyDescent="0.3">
      <c r="A391" t="s">
        <v>450</v>
      </c>
      <c r="B391" s="1">
        <v>45043</v>
      </c>
      <c r="C391">
        <v>2023</v>
      </c>
      <c r="D391" t="s">
        <v>51</v>
      </c>
      <c r="E391" t="s">
        <v>52</v>
      </c>
      <c r="F391" t="s">
        <v>63</v>
      </c>
      <c r="G391">
        <v>37</v>
      </c>
      <c r="H391" t="s">
        <v>22</v>
      </c>
      <c r="I391" t="s">
        <v>23</v>
      </c>
      <c r="J391" s="2">
        <v>499</v>
      </c>
      <c r="K391" t="s">
        <v>24</v>
      </c>
      <c r="L391">
        <v>44</v>
      </c>
      <c r="M391" t="s">
        <v>25</v>
      </c>
      <c r="N391" t="s">
        <v>32</v>
      </c>
      <c r="O391">
        <v>14</v>
      </c>
      <c r="P391" t="s">
        <v>27</v>
      </c>
      <c r="Q391">
        <v>4</v>
      </c>
      <c r="R391" s="2">
        <v>499</v>
      </c>
      <c r="S391" t="str">
        <f t="shared" si="12"/>
        <v>mid career adult</v>
      </c>
      <c r="T391" t="str">
        <f t="shared" si="13"/>
        <v>Engaged Viewer</v>
      </c>
    </row>
    <row r="392" spans="1:20" x14ac:dyDescent="0.3">
      <c r="A392" t="s">
        <v>451</v>
      </c>
      <c r="B392" s="1">
        <v>44752</v>
      </c>
      <c r="C392">
        <v>2022</v>
      </c>
      <c r="D392" t="s">
        <v>85</v>
      </c>
      <c r="E392" t="s">
        <v>52</v>
      </c>
      <c r="F392" t="s">
        <v>63</v>
      </c>
      <c r="G392">
        <v>40</v>
      </c>
      <c r="H392" t="s">
        <v>36</v>
      </c>
      <c r="I392" t="s">
        <v>23</v>
      </c>
      <c r="J392" s="2">
        <v>499</v>
      </c>
      <c r="K392" t="s">
        <v>40</v>
      </c>
      <c r="L392">
        <v>30</v>
      </c>
      <c r="M392" t="s">
        <v>31</v>
      </c>
      <c r="N392" t="s">
        <v>26</v>
      </c>
      <c r="O392">
        <v>24</v>
      </c>
      <c r="P392" t="s">
        <v>27</v>
      </c>
      <c r="Q392">
        <v>3</v>
      </c>
      <c r="R392" s="2">
        <v>499</v>
      </c>
      <c r="S392" t="str">
        <f t="shared" si="12"/>
        <v>mid career adult</v>
      </c>
      <c r="T392" t="str">
        <f t="shared" si="13"/>
        <v>Regular Viewer</v>
      </c>
    </row>
    <row r="393" spans="1:20" x14ac:dyDescent="0.3">
      <c r="A393" t="s">
        <v>452</v>
      </c>
      <c r="B393" s="1">
        <v>45969</v>
      </c>
      <c r="C393">
        <v>2025</v>
      </c>
      <c r="D393" t="s">
        <v>19</v>
      </c>
      <c r="E393" t="s">
        <v>52</v>
      </c>
      <c r="F393" t="s">
        <v>63</v>
      </c>
      <c r="G393">
        <v>41</v>
      </c>
      <c r="H393" t="s">
        <v>36</v>
      </c>
      <c r="I393" t="s">
        <v>23</v>
      </c>
      <c r="J393" s="2">
        <v>499</v>
      </c>
      <c r="K393" t="s">
        <v>49</v>
      </c>
      <c r="L393">
        <v>47</v>
      </c>
      <c r="M393" t="s">
        <v>25</v>
      </c>
      <c r="N393" t="s">
        <v>26</v>
      </c>
      <c r="O393">
        <v>14</v>
      </c>
      <c r="P393" t="s">
        <v>27</v>
      </c>
      <c r="Q393">
        <v>3</v>
      </c>
      <c r="R393" s="2">
        <v>499</v>
      </c>
      <c r="S393" t="str">
        <f t="shared" si="12"/>
        <v>mid career adult</v>
      </c>
      <c r="T393" t="str">
        <f t="shared" si="13"/>
        <v>Engaged Viewer</v>
      </c>
    </row>
    <row r="394" spans="1:20" x14ac:dyDescent="0.3">
      <c r="A394" t="s">
        <v>453</v>
      </c>
      <c r="B394" s="1">
        <v>45098</v>
      </c>
      <c r="C394">
        <v>2023</v>
      </c>
      <c r="D394" t="s">
        <v>69</v>
      </c>
      <c r="E394" t="s">
        <v>52</v>
      </c>
      <c r="F394" t="s">
        <v>21</v>
      </c>
      <c r="G394">
        <v>31</v>
      </c>
      <c r="H394" t="s">
        <v>22</v>
      </c>
      <c r="I394" t="s">
        <v>48</v>
      </c>
      <c r="J394" s="2">
        <v>649</v>
      </c>
      <c r="K394" t="s">
        <v>49</v>
      </c>
      <c r="L394">
        <v>38</v>
      </c>
      <c r="M394" t="s">
        <v>41</v>
      </c>
      <c r="N394" t="s">
        <v>32</v>
      </c>
      <c r="O394">
        <v>45</v>
      </c>
      <c r="P394" t="s">
        <v>27</v>
      </c>
      <c r="Q394">
        <v>3</v>
      </c>
      <c r="R394" s="2">
        <v>649</v>
      </c>
      <c r="S394" t="str">
        <f t="shared" si="12"/>
        <v>Young Professionals</v>
      </c>
      <c r="T394" t="str">
        <f t="shared" si="13"/>
        <v>Engaged Viewer</v>
      </c>
    </row>
    <row r="395" spans="1:20" x14ac:dyDescent="0.3">
      <c r="A395" t="s">
        <v>454</v>
      </c>
      <c r="B395" s="1">
        <v>45675</v>
      </c>
      <c r="C395">
        <v>2025</v>
      </c>
      <c r="D395" t="s">
        <v>62</v>
      </c>
      <c r="E395" t="s">
        <v>20</v>
      </c>
      <c r="F395" t="s">
        <v>29</v>
      </c>
      <c r="G395">
        <v>52</v>
      </c>
      <c r="H395" t="s">
        <v>22</v>
      </c>
      <c r="I395" t="s">
        <v>23</v>
      </c>
      <c r="J395" s="2">
        <v>499</v>
      </c>
      <c r="K395" t="s">
        <v>75</v>
      </c>
      <c r="L395">
        <v>40</v>
      </c>
      <c r="M395" t="s">
        <v>31</v>
      </c>
      <c r="N395" t="s">
        <v>26</v>
      </c>
      <c r="O395">
        <v>6</v>
      </c>
      <c r="P395" t="s">
        <v>73</v>
      </c>
      <c r="Q395">
        <v>2</v>
      </c>
      <c r="R395" s="2">
        <v>0</v>
      </c>
      <c r="S395" t="str">
        <f t="shared" si="12"/>
        <v>Mature viewer</v>
      </c>
      <c r="T395" t="str">
        <f t="shared" si="13"/>
        <v>Engaged Viewer</v>
      </c>
    </row>
    <row r="396" spans="1:20" x14ac:dyDescent="0.3">
      <c r="A396" t="s">
        <v>455</v>
      </c>
      <c r="B396" s="1">
        <v>45002</v>
      </c>
      <c r="C396">
        <v>2023</v>
      </c>
      <c r="D396" t="s">
        <v>66</v>
      </c>
      <c r="E396" t="s">
        <v>20</v>
      </c>
      <c r="F396" t="s">
        <v>21</v>
      </c>
      <c r="G396">
        <v>38</v>
      </c>
      <c r="H396" t="s">
        <v>22</v>
      </c>
      <c r="I396" t="s">
        <v>23</v>
      </c>
      <c r="J396" s="2">
        <v>499</v>
      </c>
      <c r="K396" t="s">
        <v>75</v>
      </c>
      <c r="L396">
        <v>40</v>
      </c>
      <c r="M396" t="s">
        <v>41</v>
      </c>
      <c r="N396" t="s">
        <v>26</v>
      </c>
      <c r="O396">
        <v>48</v>
      </c>
      <c r="P396" t="s">
        <v>27</v>
      </c>
      <c r="Q396">
        <v>4</v>
      </c>
      <c r="R396" s="2">
        <v>499</v>
      </c>
      <c r="S396" t="str">
        <f t="shared" si="12"/>
        <v>mid career adult</v>
      </c>
      <c r="T396" t="str">
        <f t="shared" si="13"/>
        <v>Engaged Viewer</v>
      </c>
    </row>
    <row r="397" spans="1:20" x14ac:dyDescent="0.3">
      <c r="A397" t="s">
        <v>456</v>
      </c>
      <c r="B397" s="1">
        <v>45569</v>
      </c>
      <c r="C397">
        <v>2024</v>
      </c>
      <c r="D397" t="s">
        <v>47</v>
      </c>
      <c r="E397" t="s">
        <v>20</v>
      </c>
      <c r="F397" t="s">
        <v>63</v>
      </c>
      <c r="G397">
        <v>38</v>
      </c>
      <c r="H397" t="s">
        <v>36</v>
      </c>
      <c r="I397" t="s">
        <v>23</v>
      </c>
      <c r="J397" s="2">
        <v>499</v>
      </c>
      <c r="K397" t="s">
        <v>67</v>
      </c>
      <c r="L397">
        <v>43</v>
      </c>
      <c r="M397" t="s">
        <v>31</v>
      </c>
      <c r="N397" t="s">
        <v>58</v>
      </c>
      <c r="O397">
        <v>4</v>
      </c>
      <c r="P397" t="s">
        <v>73</v>
      </c>
      <c r="Q397">
        <v>2</v>
      </c>
      <c r="R397" s="2">
        <v>0</v>
      </c>
      <c r="S397" t="str">
        <f t="shared" si="12"/>
        <v>mid career adult</v>
      </c>
      <c r="T397" t="str">
        <f t="shared" si="13"/>
        <v>Engaged Viewer</v>
      </c>
    </row>
    <row r="398" spans="1:20" x14ac:dyDescent="0.3">
      <c r="A398" t="s">
        <v>457</v>
      </c>
      <c r="B398" s="1">
        <v>45998</v>
      </c>
      <c r="C398">
        <v>2025</v>
      </c>
      <c r="D398" t="s">
        <v>39</v>
      </c>
      <c r="E398" t="s">
        <v>35</v>
      </c>
      <c r="F398" t="s">
        <v>63</v>
      </c>
      <c r="G398">
        <v>27</v>
      </c>
      <c r="H398" t="s">
        <v>22</v>
      </c>
      <c r="I398" t="s">
        <v>37</v>
      </c>
      <c r="J398" s="2">
        <v>199</v>
      </c>
      <c r="K398" t="s">
        <v>44</v>
      </c>
      <c r="L398">
        <v>25</v>
      </c>
      <c r="M398" t="s">
        <v>41</v>
      </c>
      <c r="N398" t="s">
        <v>58</v>
      </c>
      <c r="O398">
        <v>17</v>
      </c>
      <c r="P398" t="s">
        <v>27</v>
      </c>
      <c r="Q398">
        <v>4</v>
      </c>
      <c r="R398" s="2">
        <v>199</v>
      </c>
      <c r="S398" t="str">
        <f t="shared" si="12"/>
        <v>Young Professionals</v>
      </c>
      <c r="T398" t="str">
        <f t="shared" si="13"/>
        <v>Regular Viewer</v>
      </c>
    </row>
    <row r="399" spans="1:20" x14ac:dyDescent="0.3">
      <c r="A399" t="s">
        <v>458</v>
      </c>
      <c r="B399" s="1">
        <v>44979</v>
      </c>
      <c r="C399">
        <v>2023</v>
      </c>
      <c r="D399" t="s">
        <v>111</v>
      </c>
      <c r="E399" t="s">
        <v>20</v>
      </c>
      <c r="F399" t="s">
        <v>21</v>
      </c>
      <c r="G399">
        <v>22</v>
      </c>
      <c r="H399" t="s">
        <v>36</v>
      </c>
      <c r="I399" t="s">
        <v>37</v>
      </c>
      <c r="J399" s="2">
        <v>199</v>
      </c>
      <c r="K399" t="s">
        <v>24</v>
      </c>
      <c r="L399">
        <v>55</v>
      </c>
      <c r="M399" t="s">
        <v>45</v>
      </c>
      <c r="N399" t="s">
        <v>26</v>
      </c>
      <c r="O399">
        <v>39</v>
      </c>
      <c r="P399" t="s">
        <v>27</v>
      </c>
      <c r="Q399">
        <v>3</v>
      </c>
      <c r="R399" s="2">
        <v>199</v>
      </c>
      <c r="S399" t="str">
        <f t="shared" si="12"/>
        <v>Genz viewer</v>
      </c>
      <c r="T399" t="str">
        <f t="shared" si="13"/>
        <v>Binge watcher</v>
      </c>
    </row>
    <row r="400" spans="1:20" x14ac:dyDescent="0.3">
      <c r="A400" t="s">
        <v>459</v>
      </c>
      <c r="B400" s="1">
        <v>45864</v>
      </c>
      <c r="C400">
        <v>2025</v>
      </c>
      <c r="D400" t="s">
        <v>85</v>
      </c>
      <c r="E400" t="s">
        <v>43</v>
      </c>
      <c r="F400" t="s">
        <v>29</v>
      </c>
      <c r="G400">
        <v>18</v>
      </c>
      <c r="H400" t="s">
        <v>36</v>
      </c>
      <c r="I400" t="s">
        <v>37</v>
      </c>
      <c r="J400" s="2">
        <v>199</v>
      </c>
      <c r="K400" t="s">
        <v>49</v>
      </c>
      <c r="L400">
        <v>54</v>
      </c>
      <c r="M400" t="s">
        <v>41</v>
      </c>
      <c r="N400" t="s">
        <v>58</v>
      </c>
      <c r="O400">
        <v>6</v>
      </c>
      <c r="P400" t="s">
        <v>27</v>
      </c>
      <c r="Q400">
        <v>5</v>
      </c>
      <c r="R400" s="2">
        <v>199</v>
      </c>
      <c r="S400" t="str">
        <f t="shared" si="12"/>
        <v>Genz viewer</v>
      </c>
      <c r="T400" t="str">
        <f t="shared" si="13"/>
        <v>Binge watcher</v>
      </c>
    </row>
    <row r="401" spans="1:20" x14ac:dyDescent="0.3">
      <c r="A401" t="s">
        <v>460</v>
      </c>
      <c r="B401" s="1">
        <v>45997</v>
      </c>
      <c r="C401">
        <v>2025</v>
      </c>
      <c r="D401" t="s">
        <v>39</v>
      </c>
      <c r="E401" t="s">
        <v>43</v>
      </c>
      <c r="F401" t="s">
        <v>63</v>
      </c>
      <c r="G401">
        <v>28</v>
      </c>
      <c r="H401" t="s">
        <v>22</v>
      </c>
      <c r="I401" t="s">
        <v>48</v>
      </c>
      <c r="J401" s="2">
        <v>649</v>
      </c>
      <c r="K401" t="s">
        <v>67</v>
      </c>
      <c r="L401">
        <v>28</v>
      </c>
      <c r="M401" t="s">
        <v>45</v>
      </c>
      <c r="N401" t="s">
        <v>26</v>
      </c>
      <c r="O401">
        <v>27</v>
      </c>
      <c r="P401" t="s">
        <v>27</v>
      </c>
      <c r="Q401">
        <v>3</v>
      </c>
      <c r="R401" s="2">
        <v>649</v>
      </c>
      <c r="S401" t="str">
        <f t="shared" si="12"/>
        <v>Young Professionals</v>
      </c>
      <c r="T401" t="str">
        <f t="shared" si="13"/>
        <v>Regular Viewer</v>
      </c>
    </row>
    <row r="402" spans="1:20" x14ac:dyDescent="0.3">
      <c r="A402" t="s">
        <v>461</v>
      </c>
      <c r="B402" s="1">
        <v>44835</v>
      </c>
      <c r="C402">
        <v>2022</v>
      </c>
      <c r="D402" t="s">
        <v>47</v>
      </c>
      <c r="E402" t="s">
        <v>43</v>
      </c>
      <c r="F402" t="s">
        <v>29</v>
      </c>
      <c r="G402">
        <v>42</v>
      </c>
      <c r="H402" t="s">
        <v>22</v>
      </c>
      <c r="I402" t="s">
        <v>23</v>
      </c>
      <c r="J402" s="2">
        <v>499</v>
      </c>
      <c r="K402" t="s">
        <v>53</v>
      </c>
      <c r="L402">
        <v>33</v>
      </c>
      <c r="M402" t="s">
        <v>45</v>
      </c>
      <c r="N402" t="s">
        <v>32</v>
      </c>
      <c r="O402">
        <v>21</v>
      </c>
      <c r="P402" t="s">
        <v>73</v>
      </c>
      <c r="Q402">
        <v>5</v>
      </c>
      <c r="R402" s="2">
        <v>0</v>
      </c>
      <c r="S402" t="str">
        <f t="shared" si="12"/>
        <v>mid career adult</v>
      </c>
      <c r="T402" t="str">
        <f t="shared" si="13"/>
        <v>Regular Viewer</v>
      </c>
    </row>
    <row r="403" spans="1:20" x14ac:dyDescent="0.3">
      <c r="A403" t="s">
        <v>462</v>
      </c>
      <c r="B403" s="1">
        <v>44567</v>
      </c>
      <c r="C403">
        <v>2022</v>
      </c>
      <c r="D403" t="s">
        <v>62</v>
      </c>
      <c r="E403" t="s">
        <v>43</v>
      </c>
      <c r="F403" t="s">
        <v>21</v>
      </c>
      <c r="G403">
        <v>31</v>
      </c>
      <c r="H403" t="s">
        <v>36</v>
      </c>
      <c r="I403" t="s">
        <v>23</v>
      </c>
      <c r="J403" s="2">
        <v>499</v>
      </c>
      <c r="K403" t="s">
        <v>24</v>
      </c>
      <c r="L403">
        <v>25</v>
      </c>
      <c r="M403" t="s">
        <v>25</v>
      </c>
      <c r="N403" t="s">
        <v>55</v>
      </c>
      <c r="O403">
        <v>41</v>
      </c>
      <c r="P403" t="s">
        <v>27</v>
      </c>
      <c r="Q403">
        <v>3</v>
      </c>
      <c r="R403" s="2">
        <v>499</v>
      </c>
      <c r="S403" t="str">
        <f t="shared" si="12"/>
        <v>Young Professionals</v>
      </c>
      <c r="T403" t="str">
        <f t="shared" si="13"/>
        <v>Regular Viewer</v>
      </c>
    </row>
    <row r="404" spans="1:20" x14ac:dyDescent="0.3">
      <c r="A404" t="s">
        <v>463</v>
      </c>
      <c r="B404" s="1">
        <v>45387</v>
      </c>
      <c r="C404">
        <v>2024</v>
      </c>
      <c r="D404" t="s">
        <v>51</v>
      </c>
      <c r="E404" t="s">
        <v>35</v>
      </c>
      <c r="F404" t="s">
        <v>29</v>
      </c>
      <c r="G404">
        <v>28</v>
      </c>
      <c r="H404" t="s">
        <v>22</v>
      </c>
      <c r="I404" t="s">
        <v>37</v>
      </c>
      <c r="J404" s="2">
        <v>199</v>
      </c>
      <c r="K404" t="s">
        <v>53</v>
      </c>
      <c r="L404">
        <v>45</v>
      </c>
      <c r="M404" t="s">
        <v>31</v>
      </c>
      <c r="N404" t="s">
        <v>55</v>
      </c>
      <c r="O404">
        <v>18</v>
      </c>
      <c r="P404" t="s">
        <v>27</v>
      </c>
      <c r="Q404">
        <v>3</v>
      </c>
      <c r="R404" s="2">
        <v>199</v>
      </c>
      <c r="S404" t="str">
        <f t="shared" si="12"/>
        <v>Young Professionals</v>
      </c>
      <c r="T404" t="str">
        <f t="shared" si="13"/>
        <v>Engaged Viewer</v>
      </c>
    </row>
    <row r="405" spans="1:20" x14ac:dyDescent="0.3">
      <c r="A405" t="s">
        <v>464</v>
      </c>
      <c r="B405" s="1">
        <v>45547</v>
      </c>
      <c r="C405">
        <v>2024</v>
      </c>
      <c r="D405" t="s">
        <v>60</v>
      </c>
      <c r="E405" t="s">
        <v>20</v>
      </c>
      <c r="F405" t="s">
        <v>29</v>
      </c>
      <c r="G405">
        <v>41</v>
      </c>
      <c r="H405" t="s">
        <v>22</v>
      </c>
      <c r="I405" t="s">
        <v>37</v>
      </c>
      <c r="J405" s="2">
        <v>199</v>
      </c>
      <c r="K405" t="s">
        <v>67</v>
      </c>
      <c r="L405">
        <v>34</v>
      </c>
      <c r="M405" t="s">
        <v>31</v>
      </c>
      <c r="N405" t="s">
        <v>32</v>
      </c>
      <c r="O405">
        <v>35</v>
      </c>
      <c r="P405" t="s">
        <v>27</v>
      </c>
      <c r="Q405">
        <v>4</v>
      </c>
      <c r="R405" s="2">
        <v>199</v>
      </c>
      <c r="S405" t="str">
        <f t="shared" si="12"/>
        <v>mid career adult</v>
      </c>
      <c r="T405" t="str">
        <f t="shared" si="13"/>
        <v>Regular Viewer</v>
      </c>
    </row>
    <row r="406" spans="1:20" x14ac:dyDescent="0.3">
      <c r="A406" t="s">
        <v>465</v>
      </c>
      <c r="B406" s="1">
        <v>45911</v>
      </c>
      <c r="C406">
        <v>2025</v>
      </c>
      <c r="D406" t="s">
        <v>60</v>
      </c>
      <c r="E406" t="s">
        <v>43</v>
      </c>
      <c r="F406" t="s">
        <v>29</v>
      </c>
      <c r="G406">
        <v>20</v>
      </c>
      <c r="H406" t="s">
        <v>36</v>
      </c>
      <c r="I406" t="s">
        <v>48</v>
      </c>
      <c r="J406" s="2">
        <v>649</v>
      </c>
      <c r="K406" t="s">
        <v>24</v>
      </c>
      <c r="L406">
        <v>29</v>
      </c>
      <c r="M406" t="s">
        <v>41</v>
      </c>
      <c r="N406" t="s">
        <v>55</v>
      </c>
      <c r="O406">
        <v>33</v>
      </c>
      <c r="P406" t="s">
        <v>27</v>
      </c>
      <c r="Q406">
        <v>5</v>
      </c>
      <c r="R406" s="2">
        <v>649</v>
      </c>
      <c r="S406" t="str">
        <f t="shared" si="12"/>
        <v>Genz viewer</v>
      </c>
      <c r="T406" t="str">
        <f t="shared" si="13"/>
        <v>Regular Viewer</v>
      </c>
    </row>
    <row r="407" spans="1:20" x14ac:dyDescent="0.3">
      <c r="A407" t="s">
        <v>466</v>
      </c>
      <c r="B407" s="1">
        <v>44660</v>
      </c>
      <c r="C407">
        <v>2022</v>
      </c>
      <c r="D407" t="s">
        <v>51</v>
      </c>
      <c r="E407" t="s">
        <v>20</v>
      </c>
      <c r="F407" t="s">
        <v>29</v>
      </c>
      <c r="G407">
        <v>19</v>
      </c>
      <c r="H407" t="s">
        <v>22</v>
      </c>
      <c r="I407" t="s">
        <v>48</v>
      </c>
      <c r="J407" s="2">
        <v>649</v>
      </c>
      <c r="K407" t="s">
        <v>24</v>
      </c>
      <c r="L407">
        <v>30</v>
      </c>
      <c r="M407" t="s">
        <v>41</v>
      </c>
      <c r="N407" t="s">
        <v>55</v>
      </c>
      <c r="O407">
        <v>41</v>
      </c>
      <c r="P407" t="s">
        <v>27</v>
      </c>
      <c r="Q407">
        <v>4</v>
      </c>
      <c r="R407" s="2">
        <v>649</v>
      </c>
      <c r="S407" t="str">
        <f t="shared" si="12"/>
        <v>Genz viewer</v>
      </c>
      <c r="T407" t="str">
        <f t="shared" si="13"/>
        <v>Regular Viewer</v>
      </c>
    </row>
    <row r="408" spans="1:20" x14ac:dyDescent="0.3">
      <c r="A408" t="s">
        <v>467</v>
      </c>
      <c r="B408" s="1">
        <v>45720</v>
      </c>
      <c r="C408">
        <v>2025</v>
      </c>
      <c r="D408" t="s">
        <v>66</v>
      </c>
      <c r="E408" t="s">
        <v>52</v>
      </c>
      <c r="F408" t="s">
        <v>29</v>
      </c>
      <c r="G408">
        <v>49</v>
      </c>
      <c r="H408" t="s">
        <v>36</v>
      </c>
      <c r="I408" t="s">
        <v>37</v>
      </c>
      <c r="J408" s="2">
        <v>199</v>
      </c>
      <c r="K408" t="s">
        <v>44</v>
      </c>
      <c r="L408">
        <v>58</v>
      </c>
      <c r="M408" t="s">
        <v>45</v>
      </c>
      <c r="N408" t="s">
        <v>58</v>
      </c>
      <c r="O408">
        <v>14</v>
      </c>
      <c r="P408" t="s">
        <v>27</v>
      </c>
      <c r="Q408">
        <v>4</v>
      </c>
      <c r="R408" s="2">
        <v>199</v>
      </c>
      <c r="S408" t="str">
        <f t="shared" si="12"/>
        <v>Mature viewer</v>
      </c>
      <c r="T408" t="str">
        <f t="shared" si="13"/>
        <v>Binge watcher</v>
      </c>
    </row>
    <row r="409" spans="1:20" x14ac:dyDescent="0.3">
      <c r="A409" t="s">
        <v>468</v>
      </c>
      <c r="B409" s="1">
        <v>45023</v>
      </c>
      <c r="C409">
        <v>2023</v>
      </c>
      <c r="D409" t="s">
        <v>51</v>
      </c>
      <c r="E409" t="s">
        <v>43</v>
      </c>
      <c r="F409" t="s">
        <v>21</v>
      </c>
      <c r="G409">
        <v>41</v>
      </c>
      <c r="H409" t="s">
        <v>36</v>
      </c>
      <c r="I409" t="s">
        <v>37</v>
      </c>
      <c r="J409" s="2">
        <v>199</v>
      </c>
      <c r="K409" t="s">
        <v>44</v>
      </c>
      <c r="L409">
        <v>52</v>
      </c>
      <c r="M409" t="s">
        <v>31</v>
      </c>
      <c r="N409" t="s">
        <v>26</v>
      </c>
      <c r="O409">
        <v>36</v>
      </c>
      <c r="P409" t="s">
        <v>27</v>
      </c>
      <c r="Q409">
        <v>5</v>
      </c>
      <c r="R409" s="2">
        <v>199</v>
      </c>
      <c r="S409" t="str">
        <f t="shared" si="12"/>
        <v>mid career adult</v>
      </c>
      <c r="T409" t="str">
        <f t="shared" si="13"/>
        <v>Binge watcher</v>
      </c>
    </row>
    <row r="410" spans="1:20" x14ac:dyDescent="0.3">
      <c r="A410" t="s">
        <v>469</v>
      </c>
      <c r="B410" s="1">
        <v>45286</v>
      </c>
      <c r="C410">
        <v>2023</v>
      </c>
      <c r="D410" t="s">
        <v>39</v>
      </c>
      <c r="E410" t="s">
        <v>35</v>
      </c>
      <c r="F410" t="s">
        <v>29</v>
      </c>
      <c r="G410">
        <v>39</v>
      </c>
      <c r="H410" t="s">
        <v>36</v>
      </c>
      <c r="I410" t="s">
        <v>37</v>
      </c>
      <c r="J410" s="2">
        <v>199</v>
      </c>
      <c r="K410" t="s">
        <v>44</v>
      </c>
      <c r="L410">
        <v>38</v>
      </c>
      <c r="M410" t="s">
        <v>41</v>
      </c>
      <c r="N410" t="s">
        <v>32</v>
      </c>
      <c r="O410">
        <v>6</v>
      </c>
      <c r="P410" t="s">
        <v>73</v>
      </c>
      <c r="Q410">
        <v>2</v>
      </c>
      <c r="R410" s="2">
        <v>0</v>
      </c>
      <c r="S410" t="str">
        <f t="shared" si="12"/>
        <v>mid career adult</v>
      </c>
      <c r="T410" t="str">
        <f t="shared" si="13"/>
        <v>Engaged Viewer</v>
      </c>
    </row>
    <row r="411" spans="1:20" x14ac:dyDescent="0.3">
      <c r="A411" t="s">
        <v>470</v>
      </c>
      <c r="B411" s="1">
        <v>45091</v>
      </c>
      <c r="C411">
        <v>2023</v>
      </c>
      <c r="D411" t="s">
        <v>69</v>
      </c>
      <c r="E411" t="s">
        <v>43</v>
      </c>
      <c r="F411" t="s">
        <v>63</v>
      </c>
      <c r="G411">
        <v>49</v>
      </c>
      <c r="H411" t="s">
        <v>22</v>
      </c>
      <c r="I411" t="s">
        <v>23</v>
      </c>
      <c r="J411" s="2">
        <v>499</v>
      </c>
      <c r="K411" t="s">
        <v>30</v>
      </c>
      <c r="L411">
        <v>36</v>
      </c>
      <c r="M411" t="s">
        <v>25</v>
      </c>
      <c r="N411" t="s">
        <v>58</v>
      </c>
      <c r="O411">
        <v>9</v>
      </c>
      <c r="P411" t="s">
        <v>27</v>
      </c>
      <c r="Q411">
        <v>4</v>
      </c>
      <c r="R411" s="2">
        <v>499</v>
      </c>
      <c r="S411" t="str">
        <f t="shared" si="12"/>
        <v>Mature viewer</v>
      </c>
      <c r="T411" t="str">
        <f t="shared" si="13"/>
        <v>Engaged Viewer</v>
      </c>
    </row>
    <row r="412" spans="1:20" x14ac:dyDescent="0.3">
      <c r="A412" t="s">
        <v>471</v>
      </c>
      <c r="B412" s="1">
        <v>45879</v>
      </c>
      <c r="C412">
        <v>2025</v>
      </c>
      <c r="D412" t="s">
        <v>34</v>
      </c>
      <c r="E412" t="s">
        <v>35</v>
      </c>
      <c r="F412" t="s">
        <v>29</v>
      </c>
      <c r="G412">
        <v>19</v>
      </c>
      <c r="H412" t="s">
        <v>22</v>
      </c>
      <c r="I412" t="s">
        <v>37</v>
      </c>
      <c r="J412" s="2">
        <v>199</v>
      </c>
      <c r="K412" t="s">
        <v>75</v>
      </c>
      <c r="L412">
        <v>41</v>
      </c>
      <c r="M412" t="s">
        <v>41</v>
      </c>
      <c r="N412" t="s">
        <v>32</v>
      </c>
      <c r="O412">
        <v>12</v>
      </c>
      <c r="P412" t="s">
        <v>27</v>
      </c>
      <c r="Q412">
        <v>5</v>
      </c>
      <c r="R412" s="2">
        <v>199</v>
      </c>
      <c r="S412" t="str">
        <f t="shared" si="12"/>
        <v>Genz viewer</v>
      </c>
      <c r="T412" t="str">
        <f t="shared" si="13"/>
        <v>Engaged Viewer</v>
      </c>
    </row>
    <row r="413" spans="1:20" x14ac:dyDescent="0.3">
      <c r="A413" t="s">
        <v>472</v>
      </c>
      <c r="B413" s="1">
        <v>45730</v>
      </c>
      <c r="C413">
        <v>2025</v>
      </c>
      <c r="D413" t="s">
        <v>66</v>
      </c>
      <c r="E413" t="s">
        <v>20</v>
      </c>
      <c r="F413" t="s">
        <v>63</v>
      </c>
      <c r="G413">
        <v>52</v>
      </c>
      <c r="H413" t="s">
        <v>36</v>
      </c>
      <c r="I413" t="s">
        <v>37</v>
      </c>
      <c r="J413" s="2">
        <v>199</v>
      </c>
      <c r="K413" t="s">
        <v>67</v>
      </c>
      <c r="L413">
        <v>39</v>
      </c>
      <c r="M413" t="s">
        <v>41</v>
      </c>
      <c r="N413" t="s">
        <v>26</v>
      </c>
      <c r="O413">
        <v>21</v>
      </c>
      <c r="P413" t="s">
        <v>27</v>
      </c>
      <c r="Q413">
        <v>3</v>
      </c>
      <c r="R413" s="2">
        <v>199</v>
      </c>
      <c r="S413" t="str">
        <f t="shared" si="12"/>
        <v>Mature viewer</v>
      </c>
      <c r="T413" t="str">
        <f t="shared" si="13"/>
        <v>Engaged Viewer</v>
      </c>
    </row>
    <row r="414" spans="1:20" x14ac:dyDescent="0.3">
      <c r="A414" t="s">
        <v>473</v>
      </c>
      <c r="B414" s="1">
        <v>45985</v>
      </c>
      <c r="C414">
        <v>2025</v>
      </c>
      <c r="D414" t="s">
        <v>19</v>
      </c>
      <c r="E414" t="s">
        <v>52</v>
      </c>
      <c r="F414" t="s">
        <v>63</v>
      </c>
      <c r="G414">
        <v>25</v>
      </c>
      <c r="H414" t="s">
        <v>36</v>
      </c>
      <c r="I414" t="s">
        <v>37</v>
      </c>
      <c r="J414" s="2">
        <v>199</v>
      </c>
      <c r="K414" t="s">
        <v>75</v>
      </c>
      <c r="L414">
        <v>23</v>
      </c>
      <c r="M414" t="s">
        <v>41</v>
      </c>
      <c r="N414" t="s">
        <v>32</v>
      </c>
      <c r="O414">
        <v>43</v>
      </c>
      <c r="P414" t="s">
        <v>27</v>
      </c>
      <c r="Q414">
        <v>4</v>
      </c>
      <c r="R414" s="2">
        <v>199</v>
      </c>
      <c r="S414" t="str">
        <f t="shared" si="12"/>
        <v>Young Professionals</v>
      </c>
      <c r="T414" t="str">
        <f t="shared" si="13"/>
        <v>Regular Viewer</v>
      </c>
    </row>
    <row r="415" spans="1:20" x14ac:dyDescent="0.3">
      <c r="A415" t="s">
        <v>474</v>
      </c>
      <c r="B415" s="1">
        <v>45794</v>
      </c>
      <c r="C415">
        <v>2025</v>
      </c>
      <c r="D415" t="s">
        <v>79</v>
      </c>
      <c r="E415" t="s">
        <v>43</v>
      </c>
      <c r="F415" t="s">
        <v>21</v>
      </c>
      <c r="G415">
        <v>33</v>
      </c>
      <c r="H415" t="s">
        <v>36</v>
      </c>
      <c r="I415" t="s">
        <v>37</v>
      </c>
      <c r="J415" s="2">
        <v>199</v>
      </c>
      <c r="K415" t="s">
        <v>57</v>
      </c>
      <c r="L415">
        <v>57</v>
      </c>
      <c r="M415" t="s">
        <v>45</v>
      </c>
      <c r="N415" t="s">
        <v>26</v>
      </c>
      <c r="O415">
        <v>24</v>
      </c>
      <c r="P415" t="s">
        <v>73</v>
      </c>
      <c r="Q415">
        <v>3</v>
      </c>
      <c r="R415" s="2">
        <v>0</v>
      </c>
      <c r="S415" t="str">
        <f t="shared" si="12"/>
        <v>Young Professionals</v>
      </c>
      <c r="T415" t="str">
        <f t="shared" si="13"/>
        <v>Binge watcher</v>
      </c>
    </row>
    <row r="416" spans="1:20" x14ac:dyDescent="0.3">
      <c r="A416" t="s">
        <v>475</v>
      </c>
      <c r="B416" s="1">
        <v>44814</v>
      </c>
      <c r="C416">
        <v>2022</v>
      </c>
      <c r="D416" t="s">
        <v>60</v>
      </c>
      <c r="E416" t="s">
        <v>20</v>
      </c>
      <c r="F416" t="s">
        <v>29</v>
      </c>
      <c r="G416">
        <v>48</v>
      </c>
      <c r="H416" t="s">
        <v>36</v>
      </c>
      <c r="I416" t="s">
        <v>23</v>
      </c>
      <c r="J416" s="2">
        <v>499</v>
      </c>
      <c r="K416" t="s">
        <v>24</v>
      </c>
      <c r="L416">
        <v>47</v>
      </c>
      <c r="M416" t="s">
        <v>41</v>
      </c>
      <c r="N416" t="s">
        <v>58</v>
      </c>
      <c r="O416">
        <v>12</v>
      </c>
      <c r="P416" t="s">
        <v>27</v>
      </c>
      <c r="Q416">
        <v>4</v>
      </c>
      <c r="R416" s="2">
        <v>499</v>
      </c>
      <c r="S416" t="str">
        <f t="shared" si="12"/>
        <v>Mature viewer</v>
      </c>
      <c r="T416" t="str">
        <f t="shared" si="13"/>
        <v>Engaged Viewer</v>
      </c>
    </row>
    <row r="417" spans="1:20" x14ac:dyDescent="0.3">
      <c r="A417" t="s">
        <v>476</v>
      </c>
      <c r="B417" s="1">
        <v>45930</v>
      </c>
      <c r="C417">
        <v>2025</v>
      </c>
      <c r="D417" t="s">
        <v>60</v>
      </c>
      <c r="E417" t="s">
        <v>35</v>
      </c>
      <c r="F417" t="s">
        <v>63</v>
      </c>
      <c r="G417">
        <v>49</v>
      </c>
      <c r="H417" t="s">
        <v>22</v>
      </c>
      <c r="I417" t="s">
        <v>23</v>
      </c>
      <c r="J417" s="2">
        <v>499</v>
      </c>
      <c r="K417" t="s">
        <v>49</v>
      </c>
      <c r="L417">
        <v>31</v>
      </c>
      <c r="M417" t="s">
        <v>25</v>
      </c>
      <c r="N417" t="s">
        <v>32</v>
      </c>
      <c r="O417">
        <v>32</v>
      </c>
      <c r="P417" t="s">
        <v>27</v>
      </c>
      <c r="Q417">
        <v>5</v>
      </c>
      <c r="R417" s="2">
        <v>499</v>
      </c>
      <c r="S417" t="str">
        <f t="shared" si="12"/>
        <v>Mature viewer</v>
      </c>
      <c r="T417" t="str">
        <f t="shared" si="13"/>
        <v>Regular Viewer</v>
      </c>
    </row>
    <row r="418" spans="1:20" x14ac:dyDescent="0.3">
      <c r="A418" t="s">
        <v>477</v>
      </c>
      <c r="B418" s="1">
        <v>45782</v>
      </c>
      <c r="C418">
        <v>2025</v>
      </c>
      <c r="D418" t="s">
        <v>79</v>
      </c>
      <c r="E418" t="s">
        <v>43</v>
      </c>
      <c r="F418" t="s">
        <v>63</v>
      </c>
      <c r="G418">
        <v>26</v>
      </c>
      <c r="H418" t="s">
        <v>36</v>
      </c>
      <c r="I418" t="s">
        <v>37</v>
      </c>
      <c r="J418" s="2">
        <v>199</v>
      </c>
      <c r="K418" t="s">
        <v>44</v>
      </c>
      <c r="L418">
        <v>35</v>
      </c>
      <c r="M418" t="s">
        <v>25</v>
      </c>
      <c r="N418" t="s">
        <v>32</v>
      </c>
      <c r="O418">
        <v>34</v>
      </c>
      <c r="P418" t="s">
        <v>27</v>
      </c>
      <c r="Q418">
        <v>4</v>
      </c>
      <c r="R418" s="2">
        <v>199</v>
      </c>
      <c r="S418" t="str">
        <f t="shared" si="12"/>
        <v>Young Professionals</v>
      </c>
      <c r="T418" t="str">
        <f t="shared" si="13"/>
        <v>Regular Viewer</v>
      </c>
    </row>
    <row r="419" spans="1:20" x14ac:dyDescent="0.3">
      <c r="A419" t="s">
        <v>478</v>
      </c>
      <c r="B419" s="1">
        <v>44564</v>
      </c>
      <c r="C419">
        <v>2022</v>
      </c>
      <c r="D419" t="s">
        <v>62</v>
      </c>
      <c r="E419" t="s">
        <v>20</v>
      </c>
      <c r="F419" t="s">
        <v>63</v>
      </c>
      <c r="G419">
        <v>22</v>
      </c>
      <c r="H419" t="s">
        <v>36</v>
      </c>
      <c r="I419" t="s">
        <v>23</v>
      </c>
      <c r="J419" s="2">
        <v>499</v>
      </c>
      <c r="K419" t="s">
        <v>53</v>
      </c>
      <c r="L419">
        <v>55</v>
      </c>
      <c r="M419" t="s">
        <v>25</v>
      </c>
      <c r="N419" t="s">
        <v>58</v>
      </c>
      <c r="O419">
        <v>35</v>
      </c>
      <c r="P419" t="s">
        <v>27</v>
      </c>
      <c r="Q419">
        <v>5</v>
      </c>
      <c r="R419" s="2">
        <v>499</v>
      </c>
      <c r="S419" t="str">
        <f t="shared" si="12"/>
        <v>Genz viewer</v>
      </c>
      <c r="T419" t="str">
        <f t="shared" si="13"/>
        <v>Binge watcher</v>
      </c>
    </row>
    <row r="420" spans="1:20" x14ac:dyDescent="0.3">
      <c r="A420" t="s">
        <v>479</v>
      </c>
      <c r="B420" s="1">
        <v>44989</v>
      </c>
      <c r="C420">
        <v>2023</v>
      </c>
      <c r="D420" t="s">
        <v>66</v>
      </c>
      <c r="E420" t="s">
        <v>43</v>
      </c>
      <c r="F420" t="s">
        <v>21</v>
      </c>
      <c r="G420">
        <v>52</v>
      </c>
      <c r="H420" t="s">
        <v>36</v>
      </c>
      <c r="I420" t="s">
        <v>23</v>
      </c>
      <c r="J420" s="2">
        <v>499</v>
      </c>
      <c r="K420" t="s">
        <v>75</v>
      </c>
      <c r="L420">
        <v>29</v>
      </c>
      <c r="M420" t="s">
        <v>31</v>
      </c>
      <c r="N420" t="s">
        <v>55</v>
      </c>
      <c r="O420">
        <v>40</v>
      </c>
      <c r="P420" t="s">
        <v>27</v>
      </c>
      <c r="Q420">
        <v>3</v>
      </c>
      <c r="R420" s="2">
        <v>499</v>
      </c>
      <c r="S420" t="str">
        <f t="shared" si="12"/>
        <v>Mature viewer</v>
      </c>
      <c r="T420" t="str">
        <f t="shared" si="13"/>
        <v>Regular Viewer</v>
      </c>
    </row>
    <row r="421" spans="1:20" x14ac:dyDescent="0.3">
      <c r="A421" t="s">
        <v>480</v>
      </c>
      <c r="B421" s="1">
        <v>45647</v>
      </c>
      <c r="C421">
        <v>2024</v>
      </c>
      <c r="D421" t="s">
        <v>39</v>
      </c>
      <c r="E421" t="s">
        <v>43</v>
      </c>
      <c r="F421" t="s">
        <v>29</v>
      </c>
      <c r="G421">
        <v>37</v>
      </c>
      <c r="H421" t="s">
        <v>22</v>
      </c>
      <c r="I421" t="s">
        <v>37</v>
      </c>
      <c r="J421" s="2">
        <v>199</v>
      </c>
      <c r="K421" t="s">
        <v>57</v>
      </c>
      <c r="L421">
        <v>26</v>
      </c>
      <c r="M421" t="s">
        <v>41</v>
      </c>
      <c r="N421" t="s">
        <v>32</v>
      </c>
      <c r="O421">
        <v>9</v>
      </c>
      <c r="P421" t="s">
        <v>27</v>
      </c>
      <c r="Q421">
        <v>3</v>
      </c>
      <c r="R421" s="2">
        <v>199</v>
      </c>
      <c r="S421" t="str">
        <f t="shared" si="12"/>
        <v>mid career adult</v>
      </c>
      <c r="T421" t="str">
        <f t="shared" si="13"/>
        <v>Regular Viewer</v>
      </c>
    </row>
    <row r="422" spans="1:20" x14ac:dyDescent="0.3">
      <c r="A422" t="s">
        <v>481</v>
      </c>
      <c r="B422" s="1">
        <v>44696</v>
      </c>
      <c r="C422">
        <v>2022</v>
      </c>
      <c r="D422" t="s">
        <v>79</v>
      </c>
      <c r="E422" t="s">
        <v>20</v>
      </c>
      <c r="F422" t="s">
        <v>29</v>
      </c>
      <c r="G422">
        <v>46</v>
      </c>
      <c r="H422" t="s">
        <v>36</v>
      </c>
      <c r="I422" t="s">
        <v>48</v>
      </c>
      <c r="J422" s="2">
        <v>649</v>
      </c>
      <c r="K422" t="s">
        <v>24</v>
      </c>
      <c r="L422">
        <v>43</v>
      </c>
      <c r="M422" t="s">
        <v>25</v>
      </c>
      <c r="N422" t="s">
        <v>55</v>
      </c>
      <c r="O422">
        <v>46</v>
      </c>
      <c r="P422" t="s">
        <v>27</v>
      </c>
      <c r="Q422">
        <v>5</v>
      </c>
      <c r="R422" s="2">
        <v>649</v>
      </c>
      <c r="S422" t="str">
        <f t="shared" si="12"/>
        <v>Mature viewer</v>
      </c>
      <c r="T422" t="str">
        <f t="shared" si="13"/>
        <v>Engaged Viewer</v>
      </c>
    </row>
    <row r="423" spans="1:20" x14ac:dyDescent="0.3">
      <c r="A423" t="s">
        <v>482</v>
      </c>
      <c r="B423" s="1">
        <v>44592</v>
      </c>
      <c r="C423">
        <v>2022</v>
      </c>
      <c r="D423" t="s">
        <v>62</v>
      </c>
      <c r="E423" t="s">
        <v>52</v>
      </c>
      <c r="F423" t="s">
        <v>21</v>
      </c>
      <c r="G423">
        <v>20</v>
      </c>
      <c r="H423" t="s">
        <v>36</v>
      </c>
      <c r="I423" t="s">
        <v>37</v>
      </c>
      <c r="J423" s="2">
        <v>199</v>
      </c>
      <c r="K423" t="s">
        <v>75</v>
      </c>
      <c r="L423">
        <v>58</v>
      </c>
      <c r="M423" t="s">
        <v>41</v>
      </c>
      <c r="N423" t="s">
        <v>58</v>
      </c>
      <c r="O423">
        <v>17</v>
      </c>
      <c r="P423" t="s">
        <v>27</v>
      </c>
      <c r="Q423">
        <v>3</v>
      </c>
      <c r="R423" s="2">
        <v>199</v>
      </c>
      <c r="S423" t="str">
        <f t="shared" si="12"/>
        <v>Genz viewer</v>
      </c>
      <c r="T423" t="str">
        <f t="shared" si="13"/>
        <v>Binge watcher</v>
      </c>
    </row>
    <row r="424" spans="1:20" x14ac:dyDescent="0.3">
      <c r="A424" t="s">
        <v>483</v>
      </c>
      <c r="B424" s="1">
        <v>45599</v>
      </c>
      <c r="C424">
        <v>2024</v>
      </c>
      <c r="D424" t="s">
        <v>19</v>
      </c>
      <c r="E424" t="s">
        <v>43</v>
      </c>
      <c r="F424" t="s">
        <v>29</v>
      </c>
      <c r="G424">
        <v>48</v>
      </c>
      <c r="H424" t="s">
        <v>22</v>
      </c>
      <c r="I424" t="s">
        <v>23</v>
      </c>
      <c r="J424" s="2">
        <v>499</v>
      </c>
      <c r="K424" t="s">
        <v>67</v>
      </c>
      <c r="L424">
        <v>38</v>
      </c>
      <c r="M424" t="s">
        <v>45</v>
      </c>
      <c r="N424" t="s">
        <v>58</v>
      </c>
      <c r="O424">
        <v>37</v>
      </c>
      <c r="P424" t="s">
        <v>27</v>
      </c>
      <c r="Q424">
        <v>4</v>
      </c>
      <c r="R424" s="2">
        <v>499</v>
      </c>
      <c r="S424" t="str">
        <f t="shared" si="12"/>
        <v>Mature viewer</v>
      </c>
      <c r="T424" t="str">
        <f t="shared" si="13"/>
        <v>Engaged Viewer</v>
      </c>
    </row>
    <row r="425" spans="1:20" x14ac:dyDescent="0.3">
      <c r="A425" t="s">
        <v>484</v>
      </c>
      <c r="B425" s="1">
        <v>45760</v>
      </c>
      <c r="C425">
        <v>2025</v>
      </c>
      <c r="D425" t="s">
        <v>51</v>
      </c>
      <c r="E425" t="s">
        <v>20</v>
      </c>
      <c r="F425" t="s">
        <v>21</v>
      </c>
      <c r="G425">
        <v>18</v>
      </c>
      <c r="H425" t="s">
        <v>22</v>
      </c>
      <c r="I425" t="s">
        <v>37</v>
      </c>
      <c r="J425" s="2">
        <v>199</v>
      </c>
      <c r="K425" t="s">
        <v>53</v>
      </c>
      <c r="L425">
        <v>40</v>
      </c>
      <c r="M425" t="s">
        <v>41</v>
      </c>
      <c r="N425" t="s">
        <v>58</v>
      </c>
      <c r="O425">
        <v>2</v>
      </c>
      <c r="P425" t="s">
        <v>27</v>
      </c>
      <c r="Q425">
        <v>5</v>
      </c>
      <c r="R425" s="2">
        <v>199</v>
      </c>
      <c r="S425" t="str">
        <f t="shared" si="12"/>
        <v>Genz viewer</v>
      </c>
      <c r="T425" t="str">
        <f t="shared" si="13"/>
        <v>Engaged Viewer</v>
      </c>
    </row>
    <row r="426" spans="1:20" x14ac:dyDescent="0.3">
      <c r="A426" t="s">
        <v>485</v>
      </c>
      <c r="B426" s="1">
        <v>45335</v>
      </c>
      <c r="C426">
        <v>2024</v>
      </c>
      <c r="D426" t="s">
        <v>111</v>
      </c>
      <c r="E426" t="s">
        <v>20</v>
      </c>
      <c r="F426" t="s">
        <v>21</v>
      </c>
      <c r="G426">
        <v>48</v>
      </c>
      <c r="H426" t="s">
        <v>36</v>
      </c>
      <c r="I426" t="s">
        <v>23</v>
      </c>
      <c r="J426" s="2">
        <v>499</v>
      </c>
      <c r="K426" t="s">
        <v>30</v>
      </c>
      <c r="L426">
        <v>37</v>
      </c>
      <c r="M426" t="s">
        <v>41</v>
      </c>
      <c r="N426" t="s">
        <v>55</v>
      </c>
      <c r="O426">
        <v>18</v>
      </c>
      <c r="P426" t="s">
        <v>27</v>
      </c>
      <c r="Q426">
        <v>3</v>
      </c>
      <c r="R426" s="2">
        <v>499</v>
      </c>
      <c r="S426" t="str">
        <f t="shared" si="12"/>
        <v>Mature viewer</v>
      </c>
      <c r="T426" t="str">
        <f t="shared" si="13"/>
        <v>Engaged Viewer</v>
      </c>
    </row>
    <row r="427" spans="1:20" x14ac:dyDescent="0.3">
      <c r="A427" t="s">
        <v>486</v>
      </c>
      <c r="B427" s="1">
        <v>45417</v>
      </c>
      <c r="C427">
        <v>2024</v>
      </c>
      <c r="D427" t="s">
        <v>79</v>
      </c>
      <c r="E427" t="s">
        <v>20</v>
      </c>
      <c r="F427" t="s">
        <v>29</v>
      </c>
      <c r="G427">
        <v>49</v>
      </c>
      <c r="H427" t="s">
        <v>22</v>
      </c>
      <c r="I427" t="s">
        <v>23</v>
      </c>
      <c r="J427" s="2">
        <v>499</v>
      </c>
      <c r="K427" t="s">
        <v>49</v>
      </c>
      <c r="L427">
        <v>40</v>
      </c>
      <c r="M427" t="s">
        <v>41</v>
      </c>
      <c r="N427" t="s">
        <v>26</v>
      </c>
      <c r="O427">
        <v>9</v>
      </c>
      <c r="P427" t="s">
        <v>27</v>
      </c>
      <c r="Q427">
        <v>5</v>
      </c>
      <c r="R427" s="2">
        <v>499</v>
      </c>
      <c r="S427" t="str">
        <f t="shared" si="12"/>
        <v>Mature viewer</v>
      </c>
      <c r="T427" t="str">
        <f t="shared" si="13"/>
        <v>Engaged Viewer</v>
      </c>
    </row>
    <row r="428" spans="1:20" x14ac:dyDescent="0.3">
      <c r="A428" t="s">
        <v>487</v>
      </c>
      <c r="B428" s="1">
        <v>45327</v>
      </c>
      <c r="C428">
        <v>2024</v>
      </c>
      <c r="D428" t="s">
        <v>111</v>
      </c>
      <c r="E428" t="s">
        <v>20</v>
      </c>
      <c r="F428" t="s">
        <v>29</v>
      </c>
      <c r="G428">
        <v>50</v>
      </c>
      <c r="H428" t="s">
        <v>36</v>
      </c>
      <c r="I428" t="s">
        <v>23</v>
      </c>
      <c r="J428" s="2">
        <v>499</v>
      </c>
      <c r="K428" t="s">
        <v>40</v>
      </c>
      <c r="L428">
        <v>51</v>
      </c>
      <c r="M428" t="s">
        <v>25</v>
      </c>
      <c r="N428" t="s">
        <v>26</v>
      </c>
      <c r="O428">
        <v>31</v>
      </c>
      <c r="P428" t="s">
        <v>27</v>
      </c>
      <c r="Q428">
        <v>5</v>
      </c>
      <c r="R428" s="2">
        <v>499</v>
      </c>
      <c r="S428" t="str">
        <f t="shared" si="12"/>
        <v>Mature viewer</v>
      </c>
      <c r="T428" t="str">
        <f t="shared" si="13"/>
        <v>Binge watcher</v>
      </c>
    </row>
    <row r="429" spans="1:20" x14ac:dyDescent="0.3">
      <c r="A429" t="s">
        <v>488</v>
      </c>
      <c r="B429" s="1">
        <v>44696</v>
      </c>
      <c r="C429">
        <v>2022</v>
      </c>
      <c r="D429" t="s">
        <v>79</v>
      </c>
      <c r="E429" t="s">
        <v>20</v>
      </c>
      <c r="F429" t="s">
        <v>21</v>
      </c>
      <c r="G429">
        <v>45</v>
      </c>
      <c r="H429" t="s">
        <v>22</v>
      </c>
      <c r="I429" t="s">
        <v>37</v>
      </c>
      <c r="J429" s="2">
        <v>199</v>
      </c>
      <c r="K429" t="s">
        <v>57</v>
      </c>
      <c r="L429">
        <v>49</v>
      </c>
      <c r="M429" t="s">
        <v>25</v>
      </c>
      <c r="N429" t="s">
        <v>26</v>
      </c>
      <c r="O429">
        <v>31</v>
      </c>
      <c r="P429" t="s">
        <v>73</v>
      </c>
      <c r="Q429">
        <v>5</v>
      </c>
      <c r="R429" s="2">
        <v>0</v>
      </c>
      <c r="S429" t="str">
        <f t="shared" si="12"/>
        <v>Mature viewer</v>
      </c>
      <c r="T429" t="str">
        <f t="shared" si="13"/>
        <v>Engaged Viewer</v>
      </c>
    </row>
    <row r="430" spans="1:20" x14ac:dyDescent="0.3">
      <c r="A430" t="s">
        <v>489</v>
      </c>
      <c r="B430" s="1">
        <v>45820</v>
      </c>
      <c r="C430">
        <v>2025</v>
      </c>
      <c r="D430" t="s">
        <v>69</v>
      </c>
      <c r="E430" t="s">
        <v>52</v>
      </c>
      <c r="F430" t="s">
        <v>21</v>
      </c>
      <c r="G430">
        <v>21</v>
      </c>
      <c r="H430" t="s">
        <v>36</v>
      </c>
      <c r="I430" t="s">
        <v>23</v>
      </c>
      <c r="J430" s="2">
        <v>499</v>
      </c>
      <c r="K430" t="s">
        <v>53</v>
      </c>
      <c r="L430">
        <v>49</v>
      </c>
      <c r="M430" t="s">
        <v>31</v>
      </c>
      <c r="N430" t="s">
        <v>58</v>
      </c>
      <c r="O430">
        <v>2</v>
      </c>
      <c r="P430" t="s">
        <v>27</v>
      </c>
      <c r="Q430">
        <v>4</v>
      </c>
      <c r="R430" s="2">
        <v>499</v>
      </c>
      <c r="S430" t="str">
        <f t="shared" si="12"/>
        <v>Genz viewer</v>
      </c>
      <c r="T430" t="str">
        <f t="shared" si="13"/>
        <v>Engaged Viewer</v>
      </c>
    </row>
    <row r="431" spans="1:20" x14ac:dyDescent="0.3">
      <c r="A431" t="s">
        <v>490</v>
      </c>
      <c r="B431" s="1">
        <v>45211</v>
      </c>
      <c r="C431">
        <v>2023</v>
      </c>
      <c r="D431" t="s">
        <v>47</v>
      </c>
      <c r="E431" t="s">
        <v>35</v>
      </c>
      <c r="F431" t="s">
        <v>29</v>
      </c>
      <c r="G431">
        <v>53</v>
      </c>
      <c r="H431" t="s">
        <v>36</v>
      </c>
      <c r="I431" t="s">
        <v>37</v>
      </c>
      <c r="J431" s="2">
        <v>199</v>
      </c>
      <c r="K431" t="s">
        <v>75</v>
      </c>
      <c r="L431">
        <v>32</v>
      </c>
      <c r="M431" t="s">
        <v>31</v>
      </c>
      <c r="N431" t="s">
        <v>26</v>
      </c>
      <c r="O431">
        <v>25</v>
      </c>
      <c r="P431" t="s">
        <v>27</v>
      </c>
      <c r="Q431">
        <v>3</v>
      </c>
      <c r="R431" s="2">
        <v>199</v>
      </c>
      <c r="S431" t="str">
        <f t="shared" si="12"/>
        <v>Mature viewer</v>
      </c>
      <c r="T431" t="str">
        <f t="shared" si="13"/>
        <v>Regular Viewer</v>
      </c>
    </row>
    <row r="432" spans="1:20" x14ac:dyDescent="0.3">
      <c r="A432" t="s">
        <v>491</v>
      </c>
      <c r="B432" s="1">
        <v>45498</v>
      </c>
      <c r="C432">
        <v>2024</v>
      </c>
      <c r="D432" t="s">
        <v>85</v>
      </c>
      <c r="E432" t="s">
        <v>35</v>
      </c>
      <c r="F432" t="s">
        <v>21</v>
      </c>
      <c r="G432">
        <v>27</v>
      </c>
      <c r="H432" t="s">
        <v>36</v>
      </c>
      <c r="I432" t="s">
        <v>48</v>
      </c>
      <c r="J432" s="2">
        <v>649</v>
      </c>
      <c r="K432" t="s">
        <v>44</v>
      </c>
      <c r="L432">
        <v>52</v>
      </c>
      <c r="M432" t="s">
        <v>41</v>
      </c>
      <c r="N432" t="s">
        <v>32</v>
      </c>
      <c r="O432">
        <v>7</v>
      </c>
      <c r="P432" t="s">
        <v>27</v>
      </c>
      <c r="Q432">
        <v>3</v>
      </c>
      <c r="R432" s="2">
        <v>649</v>
      </c>
      <c r="S432" t="str">
        <f t="shared" si="12"/>
        <v>Young Professionals</v>
      </c>
      <c r="T432" t="str">
        <f t="shared" si="13"/>
        <v>Binge watcher</v>
      </c>
    </row>
    <row r="433" spans="1:20" x14ac:dyDescent="0.3">
      <c r="A433" t="s">
        <v>492</v>
      </c>
      <c r="B433" s="1">
        <v>44670</v>
      </c>
      <c r="C433">
        <v>2022</v>
      </c>
      <c r="D433" t="s">
        <v>51</v>
      </c>
      <c r="E433" t="s">
        <v>35</v>
      </c>
      <c r="F433" t="s">
        <v>29</v>
      </c>
      <c r="G433">
        <v>19</v>
      </c>
      <c r="H433" t="s">
        <v>36</v>
      </c>
      <c r="I433" t="s">
        <v>37</v>
      </c>
      <c r="J433" s="2">
        <v>199</v>
      </c>
      <c r="K433" t="s">
        <v>40</v>
      </c>
      <c r="L433">
        <v>25</v>
      </c>
      <c r="M433" t="s">
        <v>31</v>
      </c>
      <c r="N433" t="s">
        <v>26</v>
      </c>
      <c r="O433">
        <v>37</v>
      </c>
      <c r="P433" t="s">
        <v>27</v>
      </c>
      <c r="Q433">
        <v>4</v>
      </c>
      <c r="R433" s="2">
        <v>199</v>
      </c>
      <c r="S433" t="str">
        <f t="shared" si="12"/>
        <v>Genz viewer</v>
      </c>
      <c r="T433" t="str">
        <f t="shared" si="13"/>
        <v>Regular Viewer</v>
      </c>
    </row>
    <row r="434" spans="1:20" x14ac:dyDescent="0.3">
      <c r="A434" t="s">
        <v>493</v>
      </c>
      <c r="B434" s="1">
        <v>44562</v>
      </c>
      <c r="C434">
        <v>2022</v>
      </c>
      <c r="D434" t="s">
        <v>62</v>
      </c>
      <c r="E434" t="s">
        <v>35</v>
      </c>
      <c r="F434" t="s">
        <v>29</v>
      </c>
      <c r="G434">
        <v>27</v>
      </c>
      <c r="H434" t="s">
        <v>22</v>
      </c>
      <c r="I434" t="s">
        <v>23</v>
      </c>
      <c r="J434" s="2">
        <v>499</v>
      </c>
      <c r="K434" t="s">
        <v>30</v>
      </c>
      <c r="L434">
        <v>49</v>
      </c>
      <c r="M434" t="s">
        <v>41</v>
      </c>
      <c r="N434" t="s">
        <v>55</v>
      </c>
      <c r="O434">
        <v>13</v>
      </c>
      <c r="P434" t="s">
        <v>27</v>
      </c>
      <c r="Q434">
        <v>4</v>
      </c>
      <c r="R434" s="2">
        <v>499</v>
      </c>
      <c r="S434" t="str">
        <f t="shared" si="12"/>
        <v>Young Professionals</v>
      </c>
      <c r="T434" t="str">
        <f t="shared" si="13"/>
        <v>Engaged Viewer</v>
      </c>
    </row>
    <row r="435" spans="1:20" x14ac:dyDescent="0.3">
      <c r="A435" t="s">
        <v>494</v>
      </c>
      <c r="B435" s="1">
        <v>45471</v>
      </c>
      <c r="C435">
        <v>2024</v>
      </c>
      <c r="D435" t="s">
        <v>69</v>
      </c>
      <c r="E435" t="s">
        <v>35</v>
      </c>
      <c r="F435" t="s">
        <v>63</v>
      </c>
      <c r="G435">
        <v>40</v>
      </c>
      <c r="H435" t="s">
        <v>36</v>
      </c>
      <c r="I435" t="s">
        <v>37</v>
      </c>
      <c r="J435" s="2">
        <v>199</v>
      </c>
      <c r="K435" t="s">
        <v>30</v>
      </c>
      <c r="L435">
        <v>60</v>
      </c>
      <c r="M435" t="s">
        <v>25</v>
      </c>
      <c r="N435" t="s">
        <v>58</v>
      </c>
      <c r="O435">
        <v>22</v>
      </c>
      <c r="P435" t="s">
        <v>27</v>
      </c>
      <c r="Q435">
        <v>4</v>
      </c>
      <c r="R435" s="2">
        <v>199</v>
      </c>
      <c r="S435" t="str">
        <f t="shared" si="12"/>
        <v>mid career adult</v>
      </c>
      <c r="T435" t="str">
        <f t="shared" si="13"/>
        <v>Binge watcher</v>
      </c>
    </row>
    <row r="436" spans="1:20" x14ac:dyDescent="0.3">
      <c r="A436" t="s">
        <v>495</v>
      </c>
      <c r="B436" s="1">
        <v>45908</v>
      </c>
      <c r="C436">
        <v>2025</v>
      </c>
      <c r="D436" t="s">
        <v>60</v>
      </c>
      <c r="E436" t="s">
        <v>20</v>
      </c>
      <c r="F436" t="s">
        <v>63</v>
      </c>
      <c r="G436">
        <v>30</v>
      </c>
      <c r="H436" t="s">
        <v>22</v>
      </c>
      <c r="I436" t="s">
        <v>23</v>
      </c>
      <c r="J436" s="2">
        <v>499</v>
      </c>
      <c r="K436" t="s">
        <v>57</v>
      </c>
      <c r="L436">
        <v>53</v>
      </c>
      <c r="M436" t="s">
        <v>41</v>
      </c>
      <c r="N436" t="s">
        <v>58</v>
      </c>
      <c r="O436">
        <v>32</v>
      </c>
      <c r="P436" t="s">
        <v>27</v>
      </c>
      <c r="Q436">
        <v>3</v>
      </c>
      <c r="R436" s="2">
        <v>499</v>
      </c>
      <c r="S436" t="str">
        <f t="shared" si="12"/>
        <v>Young Professionals</v>
      </c>
      <c r="T436" t="str">
        <f t="shared" si="13"/>
        <v>Binge watcher</v>
      </c>
    </row>
    <row r="437" spans="1:20" x14ac:dyDescent="0.3">
      <c r="A437" t="s">
        <v>496</v>
      </c>
      <c r="B437" s="1">
        <v>45209</v>
      </c>
      <c r="C437">
        <v>2023</v>
      </c>
      <c r="D437" t="s">
        <v>47</v>
      </c>
      <c r="E437" t="s">
        <v>20</v>
      </c>
      <c r="F437" t="s">
        <v>29</v>
      </c>
      <c r="G437">
        <v>35</v>
      </c>
      <c r="H437" t="s">
        <v>22</v>
      </c>
      <c r="I437" t="s">
        <v>37</v>
      </c>
      <c r="J437" s="2">
        <v>199</v>
      </c>
      <c r="K437" t="s">
        <v>57</v>
      </c>
      <c r="L437">
        <v>59</v>
      </c>
      <c r="M437" t="s">
        <v>31</v>
      </c>
      <c r="N437" t="s">
        <v>32</v>
      </c>
      <c r="O437">
        <v>30</v>
      </c>
      <c r="P437" t="s">
        <v>27</v>
      </c>
      <c r="Q437">
        <v>5</v>
      </c>
      <c r="R437" s="2">
        <v>199</v>
      </c>
      <c r="S437" t="str">
        <f t="shared" si="12"/>
        <v>mid career adult</v>
      </c>
      <c r="T437" t="str">
        <f t="shared" si="13"/>
        <v>Binge watcher</v>
      </c>
    </row>
    <row r="438" spans="1:20" x14ac:dyDescent="0.3">
      <c r="A438" t="s">
        <v>497</v>
      </c>
      <c r="B438" s="1">
        <v>45871</v>
      </c>
      <c r="C438">
        <v>2025</v>
      </c>
      <c r="D438" t="s">
        <v>34</v>
      </c>
      <c r="E438" t="s">
        <v>43</v>
      </c>
      <c r="F438" t="s">
        <v>29</v>
      </c>
      <c r="G438">
        <v>36</v>
      </c>
      <c r="H438" t="s">
        <v>22</v>
      </c>
      <c r="I438" t="s">
        <v>37</v>
      </c>
      <c r="J438" s="2">
        <v>199</v>
      </c>
      <c r="K438" t="s">
        <v>67</v>
      </c>
      <c r="L438">
        <v>25</v>
      </c>
      <c r="M438" t="s">
        <v>31</v>
      </c>
      <c r="N438" t="s">
        <v>26</v>
      </c>
      <c r="O438">
        <v>21</v>
      </c>
      <c r="P438" t="s">
        <v>27</v>
      </c>
      <c r="Q438">
        <v>3</v>
      </c>
      <c r="R438" s="2">
        <v>199</v>
      </c>
      <c r="S438" t="str">
        <f t="shared" si="12"/>
        <v>mid career adult</v>
      </c>
      <c r="T438" t="str">
        <f t="shared" si="13"/>
        <v>Regular Viewer</v>
      </c>
    </row>
    <row r="439" spans="1:20" x14ac:dyDescent="0.3">
      <c r="A439" t="s">
        <v>498</v>
      </c>
      <c r="B439" s="1">
        <v>45343</v>
      </c>
      <c r="C439">
        <v>2024</v>
      </c>
      <c r="D439" t="s">
        <v>111</v>
      </c>
      <c r="E439" t="s">
        <v>43</v>
      </c>
      <c r="F439" t="s">
        <v>21</v>
      </c>
      <c r="G439">
        <v>36</v>
      </c>
      <c r="H439" t="s">
        <v>22</v>
      </c>
      <c r="I439" t="s">
        <v>37</v>
      </c>
      <c r="J439" s="2">
        <v>199</v>
      </c>
      <c r="K439" t="s">
        <v>49</v>
      </c>
      <c r="L439">
        <v>59</v>
      </c>
      <c r="M439" t="s">
        <v>45</v>
      </c>
      <c r="N439" t="s">
        <v>55</v>
      </c>
      <c r="O439">
        <v>19</v>
      </c>
      <c r="P439" t="s">
        <v>73</v>
      </c>
      <c r="Q439">
        <v>4</v>
      </c>
      <c r="R439" s="2">
        <v>0</v>
      </c>
      <c r="S439" t="str">
        <f t="shared" si="12"/>
        <v>mid career adult</v>
      </c>
      <c r="T439" t="str">
        <f t="shared" si="13"/>
        <v>Binge watcher</v>
      </c>
    </row>
    <row r="440" spans="1:20" x14ac:dyDescent="0.3">
      <c r="A440" t="s">
        <v>499</v>
      </c>
      <c r="B440" s="1">
        <v>45485</v>
      </c>
      <c r="C440">
        <v>2024</v>
      </c>
      <c r="D440" t="s">
        <v>85</v>
      </c>
      <c r="E440" t="s">
        <v>43</v>
      </c>
      <c r="F440" t="s">
        <v>29</v>
      </c>
      <c r="G440">
        <v>36</v>
      </c>
      <c r="H440" t="s">
        <v>22</v>
      </c>
      <c r="I440" t="s">
        <v>48</v>
      </c>
      <c r="J440" s="2">
        <v>649</v>
      </c>
      <c r="K440" t="s">
        <v>44</v>
      </c>
      <c r="L440">
        <v>27</v>
      </c>
      <c r="M440" t="s">
        <v>45</v>
      </c>
      <c r="N440" t="s">
        <v>58</v>
      </c>
      <c r="O440">
        <v>10</v>
      </c>
      <c r="P440" t="s">
        <v>27</v>
      </c>
      <c r="Q440">
        <v>4</v>
      </c>
      <c r="R440" s="2">
        <v>649</v>
      </c>
      <c r="S440" t="str">
        <f t="shared" si="12"/>
        <v>mid career adult</v>
      </c>
      <c r="T440" t="str">
        <f t="shared" si="13"/>
        <v>Regular Viewer</v>
      </c>
    </row>
    <row r="441" spans="1:20" x14ac:dyDescent="0.3">
      <c r="A441" t="s">
        <v>500</v>
      </c>
      <c r="B441" s="1">
        <v>45058</v>
      </c>
      <c r="C441">
        <v>2023</v>
      </c>
      <c r="D441" t="s">
        <v>79</v>
      </c>
      <c r="E441" t="s">
        <v>52</v>
      </c>
      <c r="F441" t="s">
        <v>63</v>
      </c>
      <c r="G441">
        <v>32</v>
      </c>
      <c r="H441" t="s">
        <v>22</v>
      </c>
      <c r="I441" t="s">
        <v>48</v>
      </c>
      <c r="J441" s="2">
        <v>649</v>
      </c>
      <c r="K441" t="s">
        <v>30</v>
      </c>
      <c r="L441">
        <v>58</v>
      </c>
      <c r="M441" t="s">
        <v>41</v>
      </c>
      <c r="N441" t="s">
        <v>55</v>
      </c>
      <c r="O441">
        <v>46</v>
      </c>
      <c r="P441" t="s">
        <v>27</v>
      </c>
      <c r="Q441">
        <v>3</v>
      </c>
      <c r="R441" s="2">
        <v>649</v>
      </c>
      <c r="S441" t="str">
        <f t="shared" si="12"/>
        <v>Young Professionals</v>
      </c>
      <c r="T441" t="str">
        <f t="shared" si="13"/>
        <v>Binge watcher</v>
      </c>
    </row>
    <row r="442" spans="1:20" x14ac:dyDescent="0.3">
      <c r="A442" t="s">
        <v>501</v>
      </c>
      <c r="B442" s="1">
        <v>44907</v>
      </c>
      <c r="C442">
        <v>2022</v>
      </c>
      <c r="D442" t="s">
        <v>39</v>
      </c>
      <c r="E442" t="s">
        <v>43</v>
      </c>
      <c r="F442" t="s">
        <v>29</v>
      </c>
      <c r="G442">
        <v>36</v>
      </c>
      <c r="H442" t="s">
        <v>36</v>
      </c>
      <c r="I442" t="s">
        <v>23</v>
      </c>
      <c r="J442" s="2">
        <v>499</v>
      </c>
      <c r="K442" t="s">
        <v>53</v>
      </c>
      <c r="L442">
        <v>60</v>
      </c>
      <c r="M442" t="s">
        <v>41</v>
      </c>
      <c r="N442" t="s">
        <v>55</v>
      </c>
      <c r="O442">
        <v>5</v>
      </c>
      <c r="P442" t="s">
        <v>27</v>
      </c>
      <c r="Q442">
        <v>4</v>
      </c>
      <c r="R442" s="2">
        <v>499</v>
      </c>
      <c r="S442" t="str">
        <f t="shared" si="12"/>
        <v>mid career adult</v>
      </c>
      <c r="T442" t="str">
        <f t="shared" si="13"/>
        <v>Binge watcher</v>
      </c>
    </row>
    <row r="443" spans="1:20" x14ac:dyDescent="0.3">
      <c r="A443" t="s">
        <v>502</v>
      </c>
      <c r="B443" s="1">
        <v>44931</v>
      </c>
      <c r="C443">
        <v>2023</v>
      </c>
      <c r="D443" t="s">
        <v>62</v>
      </c>
      <c r="E443" t="s">
        <v>43</v>
      </c>
      <c r="F443" t="s">
        <v>63</v>
      </c>
      <c r="G443">
        <v>25</v>
      </c>
      <c r="H443" t="s">
        <v>36</v>
      </c>
      <c r="I443" t="s">
        <v>23</v>
      </c>
      <c r="J443" s="2">
        <v>499</v>
      </c>
      <c r="K443" t="s">
        <v>67</v>
      </c>
      <c r="L443">
        <v>50</v>
      </c>
      <c r="M443" t="s">
        <v>45</v>
      </c>
      <c r="N443" t="s">
        <v>32</v>
      </c>
      <c r="O443">
        <v>24</v>
      </c>
      <c r="P443" t="s">
        <v>27</v>
      </c>
      <c r="Q443">
        <v>4</v>
      </c>
      <c r="R443" s="2">
        <v>499</v>
      </c>
      <c r="S443" t="str">
        <f t="shared" si="12"/>
        <v>Young Professionals</v>
      </c>
      <c r="T443" t="str">
        <f t="shared" si="13"/>
        <v>Engaged Viewer</v>
      </c>
    </row>
    <row r="444" spans="1:20" x14ac:dyDescent="0.3">
      <c r="A444" t="s">
        <v>503</v>
      </c>
      <c r="B444" s="1">
        <v>45229</v>
      </c>
      <c r="C444">
        <v>2023</v>
      </c>
      <c r="D444" t="s">
        <v>47</v>
      </c>
      <c r="E444" t="s">
        <v>43</v>
      </c>
      <c r="F444" t="s">
        <v>63</v>
      </c>
      <c r="G444">
        <v>52</v>
      </c>
      <c r="H444" t="s">
        <v>36</v>
      </c>
      <c r="I444" t="s">
        <v>37</v>
      </c>
      <c r="J444" s="2">
        <v>199</v>
      </c>
      <c r="K444" t="s">
        <v>75</v>
      </c>
      <c r="L444">
        <v>46</v>
      </c>
      <c r="M444" t="s">
        <v>41</v>
      </c>
      <c r="N444" t="s">
        <v>58</v>
      </c>
      <c r="O444">
        <v>29</v>
      </c>
      <c r="P444" t="s">
        <v>27</v>
      </c>
      <c r="Q444">
        <v>3</v>
      </c>
      <c r="R444" s="2">
        <v>199</v>
      </c>
      <c r="S444" t="str">
        <f t="shared" si="12"/>
        <v>Mature viewer</v>
      </c>
      <c r="T444" t="str">
        <f t="shared" si="13"/>
        <v>Engaged Viewer</v>
      </c>
    </row>
    <row r="445" spans="1:20" x14ac:dyDescent="0.3">
      <c r="A445" t="s">
        <v>504</v>
      </c>
      <c r="B445" s="1">
        <v>45139</v>
      </c>
      <c r="C445">
        <v>2023</v>
      </c>
      <c r="D445" t="s">
        <v>34</v>
      </c>
      <c r="E445" t="s">
        <v>52</v>
      </c>
      <c r="F445" t="s">
        <v>29</v>
      </c>
      <c r="G445">
        <v>38</v>
      </c>
      <c r="H445" t="s">
        <v>36</v>
      </c>
      <c r="I445" t="s">
        <v>23</v>
      </c>
      <c r="J445" s="2">
        <v>499</v>
      </c>
      <c r="K445" t="s">
        <v>49</v>
      </c>
      <c r="L445">
        <v>43</v>
      </c>
      <c r="M445" t="s">
        <v>31</v>
      </c>
      <c r="N445" t="s">
        <v>26</v>
      </c>
      <c r="O445">
        <v>6</v>
      </c>
      <c r="P445" t="s">
        <v>27</v>
      </c>
      <c r="Q445">
        <v>4</v>
      </c>
      <c r="R445" s="2">
        <v>499</v>
      </c>
      <c r="S445" t="str">
        <f t="shared" si="12"/>
        <v>mid career adult</v>
      </c>
      <c r="T445" t="str">
        <f t="shared" si="13"/>
        <v>Engaged Viewer</v>
      </c>
    </row>
    <row r="446" spans="1:20" x14ac:dyDescent="0.3">
      <c r="A446" t="s">
        <v>505</v>
      </c>
      <c r="B446" s="1">
        <v>45709</v>
      </c>
      <c r="C446">
        <v>2025</v>
      </c>
      <c r="D446" t="s">
        <v>111</v>
      </c>
      <c r="E446" t="s">
        <v>35</v>
      </c>
      <c r="F446" t="s">
        <v>29</v>
      </c>
      <c r="G446">
        <v>22</v>
      </c>
      <c r="H446" t="s">
        <v>36</v>
      </c>
      <c r="I446" t="s">
        <v>48</v>
      </c>
      <c r="J446" s="2">
        <v>649</v>
      </c>
      <c r="K446" t="s">
        <v>30</v>
      </c>
      <c r="L446">
        <v>37</v>
      </c>
      <c r="M446" t="s">
        <v>25</v>
      </c>
      <c r="N446" t="s">
        <v>26</v>
      </c>
      <c r="O446">
        <v>21</v>
      </c>
      <c r="P446" t="s">
        <v>27</v>
      </c>
      <c r="Q446">
        <v>4</v>
      </c>
      <c r="R446" s="2">
        <v>649</v>
      </c>
      <c r="S446" t="str">
        <f t="shared" si="12"/>
        <v>Genz viewer</v>
      </c>
      <c r="T446" t="str">
        <f t="shared" si="13"/>
        <v>Engaged Viewer</v>
      </c>
    </row>
    <row r="447" spans="1:20" x14ac:dyDescent="0.3">
      <c r="A447" t="s">
        <v>506</v>
      </c>
      <c r="B447" s="1">
        <v>44990</v>
      </c>
      <c r="C447">
        <v>2023</v>
      </c>
      <c r="D447" t="s">
        <v>66</v>
      </c>
      <c r="E447" t="s">
        <v>43</v>
      </c>
      <c r="F447" t="s">
        <v>29</v>
      </c>
      <c r="G447">
        <v>45</v>
      </c>
      <c r="H447" t="s">
        <v>22</v>
      </c>
      <c r="I447" t="s">
        <v>23</v>
      </c>
      <c r="J447" s="2">
        <v>499</v>
      </c>
      <c r="K447" t="s">
        <v>40</v>
      </c>
      <c r="L447">
        <v>33</v>
      </c>
      <c r="M447" t="s">
        <v>45</v>
      </c>
      <c r="N447" t="s">
        <v>55</v>
      </c>
      <c r="O447">
        <v>1</v>
      </c>
      <c r="P447" t="s">
        <v>27</v>
      </c>
      <c r="Q447">
        <v>5</v>
      </c>
      <c r="R447" s="2">
        <v>499</v>
      </c>
      <c r="S447" t="str">
        <f t="shared" si="12"/>
        <v>Mature viewer</v>
      </c>
      <c r="T447" t="str">
        <f t="shared" si="13"/>
        <v>Regular Viewer</v>
      </c>
    </row>
    <row r="448" spans="1:20" x14ac:dyDescent="0.3">
      <c r="A448" t="s">
        <v>507</v>
      </c>
      <c r="B448" s="1">
        <v>44816</v>
      </c>
      <c r="C448">
        <v>2022</v>
      </c>
      <c r="D448" t="s">
        <v>60</v>
      </c>
      <c r="E448" t="s">
        <v>35</v>
      </c>
      <c r="F448" t="s">
        <v>29</v>
      </c>
      <c r="G448">
        <v>27</v>
      </c>
      <c r="H448" t="s">
        <v>36</v>
      </c>
      <c r="I448" t="s">
        <v>37</v>
      </c>
      <c r="J448" s="2">
        <v>199</v>
      </c>
      <c r="K448" t="s">
        <v>67</v>
      </c>
      <c r="L448">
        <v>54</v>
      </c>
      <c r="M448" t="s">
        <v>31</v>
      </c>
      <c r="N448" t="s">
        <v>55</v>
      </c>
      <c r="O448">
        <v>30</v>
      </c>
      <c r="P448" t="s">
        <v>27</v>
      </c>
      <c r="Q448">
        <v>5</v>
      </c>
      <c r="R448" s="2">
        <v>199</v>
      </c>
      <c r="S448" t="str">
        <f t="shared" si="12"/>
        <v>Young Professionals</v>
      </c>
      <c r="T448" t="str">
        <f t="shared" si="13"/>
        <v>Binge watcher</v>
      </c>
    </row>
    <row r="449" spans="1:20" x14ac:dyDescent="0.3">
      <c r="A449" t="s">
        <v>508</v>
      </c>
      <c r="B449" s="1">
        <v>44975</v>
      </c>
      <c r="C449">
        <v>2023</v>
      </c>
      <c r="D449" t="s">
        <v>111</v>
      </c>
      <c r="E449" t="s">
        <v>20</v>
      </c>
      <c r="F449" t="s">
        <v>21</v>
      </c>
      <c r="G449">
        <v>53</v>
      </c>
      <c r="H449" t="s">
        <v>36</v>
      </c>
      <c r="I449" t="s">
        <v>23</v>
      </c>
      <c r="J449" s="2">
        <v>499</v>
      </c>
      <c r="K449" t="s">
        <v>67</v>
      </c>
      <c r="L449">
        <v>31</v>
      </c>
      <c r="M449" t="s">
        <v>45</v>
      </c>
      <c r="N449" t="s">
        <v>58</v>
      </c>
      <c r="O449">
        <v>31</v>
      </c>
      <c r="P449" t="s">
        <v>27</v>
      </c>
      <c r="Q449">
        <v>4</v>
      </c>
      <c r="R449" s="2">
        <v>499</v>
      </c>
      <c r="S449" t="str">
        <f t="shared" si="12"/>
        <v>Mature viewer</v>
      </c>
      <c r="T449" t="str">
        <f t="shared" si="13"/>
        <v>Regular Viewer</v>
      </c>
    </row>
    <row r="450" spans="1:20" x14ac:dyDescent="0.3">
      <c r="A450" t="s">
        <v>509</v>
      </c>
      <c r="B450" s="1">
        <v>45139</v>
      </c>
      <c r="C450">
        <v>2023</v>
      </c>
      <c r="D450" t="s">
        <v>34</v>
      </c>
      <c r="E450" t="s">
        <v>35</v>
      </c>
      <c r="F450" t="s">
        <v>63</v>
      </c>
      <c r="G450">
        <v>35</v>
      </c>
      <c r="H450" t="s">
        <v>22</v>
      </c>
      <c r="I450" t="s">
        <v>48</v>
      </c>
      <c r="J450" s="2">
        <v>649</v>
      </c>
      <c r="K450" t="s">
        <v>57</v>
      </c>
      <c r="L450">
        <v>60</v>
      </c>
      <c r="M450" t="s">
        <v>45</v>
      </c>
      <c r="N450" t="s">
        <v>26</v>
      </c>
      <c r="O450">
        <v>36</v>
      </c>
      <c r="P450" t="s">
        <v>27</v>
      </c>
      <c r="Q450">
        <v>4</v>
      </c>
      <c r="R450" s="2">
        <v>649</v>
      </c>
      <c r="S450" t="str">
        <f t="shared" si="12"/>
        <v>mid career adult</v>
      </c>
      <c r="T450" t="str">
        <f t="shared" si="13"/>
        <v>Binge watcher</v>
      </c>
    </row>
    <row r="451" spans="1:20" x14ac:dyDescent="0.3">
      <c r="A451" t="s">
        <v>510</v>
      </c>
      <c r="B451" s="1">
        <v>44883</v>
      </c>
      <c r="C451">
        <v>2022</v>
      </c>
      <c r="D451" t="s">
        <v>19</v>
      </c>
      <c r="E451" t="s">
        <v>52</v>
      </c>
      <c r="F451" t="s">
        <v>21</v>
      </c>
      <c r="G451">
        <v>23</v>
      </c>
      <c r="H451" t="s">
        <v>36</v>
      </c>
      <c r="I451" t="s">
        <v>37</v>
      </c>
      <c r="J451" s="2">
        <v>199</v>
      </c>
      <c r="K451" t="s">
        <v>53</v>
      </c>
      <c r="L451">
        <v>34</v>
      </c>
      <c r="M451" t="s">
        <v>31</v>
      </c>
      <c r="N451" t="s">
        <v>32</v>
      </c>
      <c r="O451">
        <v>2</v>
      </c>
      <c r="P451" t="s">
        <v>27</v>
      </c>
      <c r="Q451">
        <v>4</v>
      </c>
      <c r="R451" s="2">
        <v>199</v>
      </c>
      <c r="S451" t="str">
        <f t="shared" ref="S451:S514" si="14">IF(G451&lt;=24,"Genz viewer",IF(G451&lt;=34,"Young Professionals",IF(G451&lt;=44,"mid career adult",IF(G451&lt;=54,"Mature viewer","senior viewer"))))</f>
        <v>Genz viewer</v>
      </c>
      <c r="T451" t="str">
        <f t="shared" ref="T451:T514" si="15">IF(L451&lt;=20,"Casual Viewer",IF(L451&lt;=35,"Regular Viewer", IF(L451&lt;=50,"Engaged Viewer","Binge watcher")))</f>
        <v>Regular Viewer</v>
      </c>
    </row>
    <row r="452" spans="1:20" x14ac:dyDescent="0.3">
      <c r="A452" t="s">
        <v>511</v>
      </c>
      <c r="B452" s="1">
        <v>45090</v>
      </c>
      <c r="C452">
        <v>2023</v>
      </c>
      <c r="D452" t="s">
        <v>69</v>
      </c>
      <c r="E452" t="s">
        <v>35</v>
      </c>
      <c r="F452" t="s">
        <v>29</v>
      </c>
      <c r="G452">
        <v>55</v>
      </c>
      <c r="H452" t="s">
        <v>36</v>
      </c>
      <c r="I452" t="s">
        <v>48</v>
      </c>
      <c r="J452" s="2">
        <v>649</v>
      </c>
      <c r="K452" t="s">
        <v>44</v>
      </c>
      <c r="L452">
        <v>41</v>
      </c>
      <c r="M452" t="s">
        <v>41</v>
      </c>
      <c r="N452" t="s">
        <v>58</v>
      </c>
      <c r="O452">
        <v>43</v>
      </c>
      <c r="P452" t="s">
        <v>27</v>
      </c>
      <c r="Q452">
        <v>3</v>
      </c>
      <c r="R452" s="2">
        <v>649</v>
      </c>
      <c r="S452" t="str">
        <f t="shared" si="14"/>
        <v>senior viewer</v>
      </c>
      <c r="T452" t="str">
        <f t="shared" si="15"/>
        <v>Engaged Viewer</v>
      </c>
    </row>
    <row r="453" spans="1:20" x14ac:dyDescent="0.3">
      <c r="A453" t="s">
        <v>512</v>
      </c>
      <c r="B453" s="1">
        <v>45210</v>
      </c>
      <c r="C453">
        <v>2023</v>
      </c>
      <c r="D453" t="s">
        <v>47</v>
      </c>
      <c r="E453" t="s">
        <v>20</v>
      </c>
      <c r="F453" t="s">
        <v>29</v>
      </c>
      <c r="G453">
        <v>31</v>
      </c>
      <c r="H453" t="s">
        <v>36</v>
      </c>
      <c r="I453" t="s">
        <v>23</v>
      </c>
      <c r="J453" s="2">
        <v>499</v>
      </c>
      <c r="K453" t="s">
        <v>57</v>
      </c>
      <c r="L453">
        <v>58</v>
      </c>
      <c r="M453" t="s">
        <v>45</v>
      </c>
      <c r="N453" t="s">
        <v>26</v>
      </c>
      <c r="O453">
        <v>17</v>
      </c>
      <c r="P453" t="s">
        <v>27</v>
      </c>
      <c r="Q453">
        <v>5</v>
      </c>
      <c r="R453" s="2">
        <v>499</v>
      </c>
      <c r="S453" t="str">
        <f t="shared" si="14"/>
        <v>Young Professionals</v>
      </c>
      <c r="T453" t="str">
        <f t="shared" si="15"/>
        <v>Binge watcher</v>
      </c>
    </row>
    <row r="454" spans="1:20" x14ac:dyDescent="0.3">
      <c r="A454" t="s">
        <v>513</v>
      </c>
      <c r="B454" s="1">
        <v>45564</v>
      </c>
      <c r="C454">
        <v>2024</v>
      </c>
      <c r="D454" t="s">
        <v>60</v>
      </c>
      <c r="E454" t="s">
        <v>20</v>
      </c>
      <c r="F454" t="s">
        <v>63</v>
      </c>
      <c r="G454">
        <v>37</v>
      </c>
      <c r="H454" t="s">
        <v>36</v>
      </c>
      <c r="I454" t="s">
        <v>37</v>
      </c>
      <c r="J454" s="2">
        <v>199</v>
      </c>
      <c r="K454" t="s">
        <v>30</v>
      </c>
      <c r="L454">
        <v>57</v>
      </c>
      <c r="M454" t="s">
        <v>45</v>
      </c>
      <c r="N454" t="s">
        <v>55</v>
      </c>
      <c r="O454">
        <v>12</v>
      </c>
      <c r="P454" t="s">
        <v>27</v>
      </c>
      <c r="Q454">
        <v>4</v>
      </c>
      <c r="R454" s="2">
        <v>199</v>
      </c>
      <c r="S454" t="str">
        <f t="shared" si="14"/>
        <v>mid career adult</v>
      </c>
      <c r="T454" t="str">
        <f t="shared" si="15"/>
        <v>Binge watcher</v>
      </c>
    </row>
    <row r="455" spans="1:20" x14ac:dyDescent="0.3">
      <c r="A455" t="s">
        <v>514</v>
      </c>
      <c r="B455" s="1">
        <v>45793</v>
      </c>
      <c r="C455">
        <v>2025</v>
      </c>
      <c r="D455" t="s">
        <v>79</v>
      </c>
      <c r="E455" t="s">
        <v>52</v>
      </c>
      <c r="F455" t="s">
        <v>21</v>
      </c>
      <c r="G455">
        <v>19</v>
      </c>
      <c r="H455" t="s">
        <v>36</v>
      </c>
      <c r="I455" t="s">
        <v>48</v>
      </c>
      <c r="J455" s="2">
        <v>649</v>
      </c>
      <c r="K455" t="s">
        <v>67</v>
      </c>
      <c r="L455">
        <v>25</v>
      </c>
      <c r="M455" t="s">
        <v>25</v>
      </c>
      <c r="N455" t="s">
        <v>26</v>
      </c>
      <c r="O455">
        <v>4</v>
      </c>
      <c r="P455" t="s">
        <v>27</v>
      </c>
      <c r="Q455">
        <v>3</v>
      </c>
      <c r="R455" s="2">
        <v>649</v>
      </c>
      <c r="S455" t="str">
        <f t="shared" si="14"/>
        <v>Genz viewer</v>
      </c>
      <c r="T455" t="str">
        <f t="shared" si="15"/>
        <v>Regular Viewer</v>
      </c>
    </row>
    <row r="456" spans="1:20" x14ac:dyDescent="0.3">
      <c r="A456" t="s">
        <v>515</v>
      </c>
      <c r="B456" s="1">
        <v>45249</v>
      </c>
      <c r="C456">
        <v>2023</v>
      </c>
      <c r="D456" t="s">
        <v>19</v>
      </c>
      <c r="E456" t="s">
        <v>52</v>
      </c>
      <c r="F456" t="s">
        <v>29</v>
      </c>
      <c r="G456">
        <v>27</v>
      </c>
      <c r="H456" t="s">
        <v>22</v>
      </c>
      <c r="I456" t="s">
        <v>48</v>
      </c>
      <c r="J456" s="2">
        <v>649</v>
      </c>
      <c r="K456" t="s">
        <v>75</v>
      </c>
      <c r="L456">
        <v>30</v>
      </c>
      <c r="M456" t="s">
        <v>31</v>
      </c>
      <c r="N456" t="s">
        <v>32</v>
      </c>
      <c r="O456">
        <v>24</v>
      </c>
      <c r="P456" t="s">
        <v>27</v>
      </c>
      <c r="Q456">
        <v>5</v>
      </c>
      <c r="R456" s="2">
        <v>649</v>
      </c>
      <c r="S456" t="str">
        <f t="shared" si="14"/>
        <v>Young Professionals</v>
      </c>
      <c r="T456" t="str">
        <f t="shared" si="15"/>
        <v>Regular Viewer</v>
      </c>
    </row>
    <row r="457" spans="1:20" x14ac:dyDescent="0.3">
      <c r="A457" t="s">
        <v>516</v>
      </c>
      <c r="B457" s="1">
        <v>45754</v>
      </c>
      <c r="C457">
        <v>2025</v>
      </c>
      <c r="D457" t="s">
        <v>51</v>
      </c>
      <c r="E457" t="s">
        <v>20</v>
      </c>
      <c r="F457" t="s">
        <v>29</v>
      </c>
      <c r="G457">
        <v>23</v>
      </c>
      <c r="H457" t="s">
        <v>36</v>
      </c>
      <c r="I457" t="s">
        <v>48</v>
      </c>
      <c r="J457" s="2">
        <v>649</v>
      </c>
      <c r="K457" t="s">
        <v>24</v>
      </c>
      <c r="L457">
        <v>42</v>
      </c>
      <c r="M457" t="s">
        <v>45</v>
      </c>
      <c r="N457" t="s">
        <v>58</v>
      </c>
      <c r="O457">
        <v>32</v>
      </c>
      <c r="P457" t="s">
        <v>27</v>
      </c>
      <c r="Q457">
        <v>3</v>
      </c>
      <c r="R457" s="2">
        <v>649</v>
      </c>
      <c r="S457" t="str">
        <f t="shared" si="14"/>
        <v>Genz viewer</v>
      </c>
      <c r="T457" t="str">
        <f t="shared" si="15"/>
        <v>Engaged Viewer</v>
      </c>
    </row>
    <row r="458" spans="1:20" x14ac:dyDescent="0.3">
      <c r="A458" t="s">
        <v>517</v>
      </c>
      <c r="B458" s="1">
        <v>45161</v>
      </c>
      <c r="C458">
        <v>2023</v>
      </c>
      <c r="D458" t="s">
        <v>34</v>
      </c>
      <c r="E458" t="s">
        <v>52</v>
      </c>
      <c r="F458" t="s">
        <v>63</v>
      </c>
      <c r="G458">
        <v>32</v>
      </c>
      <c r="H458" t="s">
        <v>36</v>
      </c>
      <c r="I458" t="s">
        <v>48</v>
      </c>
      <c r="J458" s="2">
        <v>649</v>
      </c>
      <c r="K458" t="s">
        <v>24</v>
      </c>
      <c r="L458">
        <v>31</v>
      </c>
      <c r="M458" t="s">
        <v>25</v>
      </c>
      <c r="N458" t="s">
        <v>26</v>
      </c>
      <c r="O458">
        <v>23</v>
      </c>
      <c r="P458" t="s">
        <v>27</v>
      </c>
      <c r="Q458">
        <v>3</v>
      </c>
      <c r="R458" s="2">
        <v>649</v>
      </c>
      <c r="S458" t="str">
        <f t="shared" si="14"/>
        <v>Young Professionals</v>
      </c>
      <c r="T458" t="str">
        <f t="shared" si="15"/>
        <v>Regular Viewer</v>
      </c>
    </row>
    <row r="459" spans="1:20" x14ac:dyDescent="0.3">
      <c r="A459" t="s">
        <v>518</v>
      </c>
      <c r="B459" s="1">
        <v>45653</v>
      </c>
      <c r="C459">
        <v>2024</v>
      </c>
      <c r="D459" t="s">
        <v>39</v>
      </c>
      <c r="E459" t="s">
        <v>20</v>
      </c>
      <c r="F459" t="s">
        <v>21</v>
      </c>
      <c r="G459">
        <v>53</v>
      </c>
      <c r="H459" t="s">
        <v>36</v>
      </c>
      <c r="I459" t="s">
        <v>23</v>
      </c>
      <c r="J459" s="2">
        <v>499</v>
      </c>
      <c r="K459" t="s">
        <v>75</v>
      </c>
      <c r="L459">
        <v>60</v>
      </c>
      <c r="M459" t="s">
        <v>25</v>
      </c>
      <c r="N459" t="s">
        <v>32</v>
      </c>
      <c r="O459">
        <v>33</v>
      </c>
      <c r="P459" t="s">
        <v>27</v>
      </c>
      <c r="Q459">
        <v>4</v>
      </c>
      <c r="R459" s="2">
        <v>499</v>
      </c>
      <c r="S459" t="str">
        <f t="shared" si="14"/>
        <v>Mature viewer</v>
      </c>
      <c r="T459" t="str">
        <f t="shared" si="15"/>
        <v>Binge watcher</v>
      </c>
    </row>
    <row r="460" spans="1:20" x14ac:dyDescent="0.3">
      <c r="A460" t="s">
        <v>519</v>
      </c>
      <c r="B460" s="1">
        <v>45902</v>
      </c>
      <c r="C460">
        <v>2025</v>
      </c>
      <c r="D460" t="s">
        <v>60</v>
      </c>
      <c r="E460" t="s">
        <v>20</v>
      </c>
      <c r="F460" t="s">
        <v>21</v>
      </c>
      <c r="G460">
        <v>22</v>
      </c>
      <c r="H460" t="s">
        <v>36</v>
      </c>
      <c r="I460" t="s">
        <v>37</v>
      </c>
      <c r="J460" s="2">
        <v>199</v>
      </c>
      <c r="K460" t="s">
        <v>67</v>
      </c>
      <c r="L460">
        <v>24</v>
      </c>
      <c r="M460" t="s">
        <v>31</v>
      </c>
      <c r="N460" t="s">
        <v>32</v>
      </c>
      <c r="O460">
        <v>42</v>
      </c>
      <c r="P460" t="s">
        <v>73</v>
      </c>
      <c r="Q460">
        <v>4</v>
      </c>
      <c r="R460" s="2">
        <v>0</v>
      </c>
      <c r="S460" t="str">
        <f t="shared" si="14"/>
        <v>Genz viewer</v>
      </c>
      <c r="T460" t="str">
        <f t="shared" si="15"/>
        <v>Regular Viewer</v>
      </c>
    </row>
    <row r="461" spans="1:20" x14ac:dyDescent="0.3">
      <c r="A461" t="s">
        <v>520</v>
      </c>
      <c r="B461" s="1">
        <v>45410</v>
      </c>
      <c r="C461">
        <v>2024</v>
      </c>
      <c r="D461" t="s">
        <v>51</v>
      </c>
      <c r="E461" t="s">
        <v>43</v>
      </c>
      <c r="F461" t="s">
        <v>21</v>
      </c>
      <c r="G461">
        <v>55</v>
      </c>
      <c r="H461" t="s">
        <v>22</v>
      </c>
      <c r="I461" t="s">
        <v>37</v>
      </c>
      <c r="J461" s="2">
        <v>199</v>
      </c>
      <c r="K461" t="s">
        <v>40</v>
      </c>
      <c r="L461">
        <v>27</v>
      </c>
      <c r="M461" t="s">
        <v>25</v>
      </c>
      <c r="N461" t="s">
        <v>58</v>
      </c>
      <c r="O461">
        <v>48</v>
      </c>
      <c r="P461" t="s">
        <v>27</v>
      </c>
      <c r="Q461">
        <v>4</v>
      </c>
      <c r="R461" s="2">
        <v>199</v>
      </c>
      <c r="S461" t="str">
        <f t="shared" si="14"/>
        <v>senior viewer</v>
      </c>
      <c r="T461" t="str">
        <f t="shared" si="15"/>
        <v>Regular Viewer</v>
      </c>
    </row>
    <row r="462" spans="1:20" x14ac:dyDescent="0.3">
      <c r="A462" t="s">
        <v>521</v>
      </c>
      <c r="B462" s="1">
        <v>44771</v>
      </c>
      <c r="C462">
        <v>2022</v>
      </c>
      <c r="D462" t="s">
        <v>85</v>
      </c>
      <c r="E462" t="s">
        <v>35</v>
      </c>
      <c r="F462" t="s">
        <v>29</v>
      </c>
      <c r="G462">
        <v>37</v>
      </c>
      <c r="H462" t="s">
        <v>22</v>
      </c>
      <c r="I462" t="s">
        <v>23</v>
      </c>
      <c r="J462" s="2">
        <v>499</v>
      </c>
      <c r="K462" t="s">
        <v>49</v>
      </c>
      <c r="L462">
        <v>42</v>
      </c>
      <c r="M462" t="s">
        <v>25</v>
      </c>
      <c r="N462" t="s">
        <v>58</v>
      </c>
      <c r="O462">
        <v>27</v>
      </c>
      <c r="P462" t="s">
        <v>27</v>
      </c>
      <c r="Q462">
        <v>4</v>
      </c>
      <c r="R462" s="2">
        <v>499</v>
      </c>
      <c r="S462" t="str">
        <f t="shared" si="14"/>
        <v>mid career adult</v>
      </c>
      <c r="T462" t="str">
        <f t="shared" si="15"/>
        <v>Engaged Viewer</v>
      </c>
    </row>
    <row r="463" spans="1:20" x14ac:dyDescent="0.3">
      <c r="A463" t="s">
        <v>522</v>
      </c>
      <c r="B463" s="1">
        <v>45047</v>
      </c>
      <c r="C463">
        <v>2023</v>
      </c>
      <c r="D463" t="s">
        <v>79</v>
      </c>
      <c r="E463" t="s">
        <v>20</v>
      </c>
      <c r="F463" t="s">
        <v>63</v>
      </c>
      <c r="G463">
        <v>52</v>
      </c>
      <c r="H463" t="s">
        <v>22</v>
      </c>
      <c r="I463" t="s">
        <v>37</v>
      </c>
      <c r="J463" s="2">
        <v>199</v>
      </c>
      <c r="K463" t="s">
        <v>44</v>
      </c>
      <c r="L463">
        <v>52</v>
      </c>
      <c r="M463" t="s">
        <v>41</v>
      </c>
      <c r="N463" t="s">
        <v>58</v>
      </c>
      <c r="O463">
        <v>10</v>
      </c>
      <c r="P463" t="s">
        <v>27</v>
      </c>
      <c r="Q463">
        <v>5</v>
      </c>
      <c r="R463" s="2">
        <v>199</v>
      </c>
      <c r="S463" t="str">
        <f t="shared" si="14"/>
        <v>Mature viewer</v>
      </c>
      <c r="T463" t="str">
        <f t="shared" si="15"/>
        <v>Binge watcher</v>
      </c>
    </row>
    <row r="464" spans="1:20" x14ac:dyDescent="0.3">
      <c r="A464" t="s">
        <v>523</v>
      </c>
      <c r="B464" s="1">
        <v>45973</v>
      </c>
      <c r="C464">
        <v>2025</v>
      </c>
      <c r="D464" t="s">
        <v>19</v>
      </c>
      <c r="E464" t="s">
        <v>20</v>
      </c>
      <c r="F464" t="s">
        <v>21</v>
      </c>
      <c r="G464">
        <v>39</v>
      </c>
      <c r="H464" t="s">
        <v>36</v>
      </c>
      <c r="I464" t="s">
        <v>37</v>
      </c>
      <c r="J464" s="2">
        <v>199</v>
      </c>
      <c r="K464" t="s">
        <v>57</v>
      </c>
      <c r="L464">
        <v>60</v>
      </c>
      <c r="M464" t="s">
        <v>45</v>
      </c>
      <c r="N464" t="s">
        <v>58</v>
      </c>
      <c r="O464">
        <v>41</v>
      </c>
      <c r="P464" t="s">
        <v>27</v>
      </c>
      <c r="Q464">
        <v>3</v>
      </c>
      <c r="R464" s="2">
        <v>199</v>
      </c>
      <c r="S464" t="str">
        <f t="shared" si="14"/>
        <v>mid career adult</v>
      </c>
      <c r="T464" t="str">
        <f t="shared" si="15"/>
        <v>Binge watcher</v>
      </c>
    </row>
    <row r="465" spans="1:20" x14ac:dyDescent="0.3">
      <c r="A465" t="s">
        <v>524</v>
      </c>
      <c r="B465" s="1">
        <v>45423</v>
      </c>
      <c r="C465">
        <v>2024</v>
      </c>
      <c r="D465" t="s">
        <v>79</v>
      </c>
      <c r="E465" t="s">
        <v>20</v>
      </c>
      <c r="F465" t="s">
        <v>21</v>
      </c>
      <c r="G465">
        <v>26</v>
      </c>
      <c r="H465" t="s">
        <v>22</v>
      </c>
      <c r="I465" t="s">
        <v>48</v>
      </c>
      <c r="J465" s="2">
        <v>649</v>
      </c>
      <c r="K465" t="s">
        <v>53</v>
      </c>
      <c r="L465">
        <v>47</v>
      </c>
      <c r="M465" t="s">
        <v>45</v>
      </c>
      <c r="N465" t="s">
        <v>26</v>
      </c>
      <c r="O465">
        <v>44</v>
      </c>
      <c r="P465" t="s">
        <v>27</v>
      </c>
      <c r="Q465">
        <v>5</v>
      </c>
      <c r="R465" s="2">
        <v>649</v>
      </c>
      <c r="S465" t="str">
        <f t="shared" si="14"/>
        <v>Young Professionals</v>
      </c>
      <c r="T465" t="str">
        <f t="shared" si="15"/>
        <v>Engaged Viewer</v>
      </c>
    </row>
    <row r="466" spans="1:20" x14ac:dyDescent="0.3">
      <c r="A466" t="s">
        <v>525</v>
      </c>
      <c r="B466" s="1">
        <v>44578</v>
      </c>
      <c r="C466">
        <v>2022</v>
      </c>
      <c r="D466" t="s">
        <v>62</v>
      </c>
      <c r="E466" t="s">
        <v>35</v>
      </c>
      <c r="F466" t="s">
        <v>21</v>
      </c>
      <c r="G466">
        <v>34</v>
      </c>
      <c r="H466" t="s">
        <v>22</v>
      </c>
      <c r="I466" t="s">
        <v>37</v>
      </c>
      <c r="J466" s="2">
        <v>199</v>
      </c>
      <c r="K466" t="s">
        <v>30</v>
      </c>
      <c r="L466">
        <v>38</v>
      </c>
      <c r="M466" t="s">
        <v>41</v>
      </c>
      <c r="N466" t="s">
        <v>58</v>
      </c>
      <c r="O466">
        <v>46</v>
      </c>
      <c r="P466" t="s">
        <v>27</v>
      </c>
      <c r="Q466">
        <v>5</v>
      </c>
      <c r="R466" s="2">
        <v>199</v>
      </c>
      <c r="S466" t="str">
        <f t="shared" si="14"/>
        <v>Young Professionals</v>
      </c>
      <c r="T466" t="str">
        <f t="shared" si="15"/>
        <v>Engaged Viewer</v>
      </c>
    </row>
    <row r="467" spans="1:20" x14ac:dyDescent="0.3">
      <c r="A467" t="s">
        <v>526</v>
      </c>
      <c r="B467" s="1">
        <v>45445</v>
      </c>
      <c r="C467">
        <v>2024</v>
      </c>
      <c r="D467" t="s">
        <v>69</v>
      </c>
      <c r="E467" t="s">
        <v>52</v>
      </c>
      <c r="F467" t="s">
        <v>29</v>
      </c>
      <c r="G467">
        <v>36</v>
      </c>
      <c r="H467" t="s">
        <v>22</v>
      </c>
      <c r="I467" t="s">
        <v>37</v>
      </c>
      <c r="J467" s="2">
        <v>199</v>
      </c>
      <c r="K467" t="s">
        <v>67</v>
      </c>
      <c r="L467">
        <v>25</v>
      </c>
      <c r="M467" t="s">
        <v>25</v>
      </c>
      <c r="N467" t="s">
        <v>26</v>
      </c>
      <c r="O467">
        <v>9</v>
      </c>
      <c r="P467" t="s">
        <v>73</v>
      </c>
      <c r="Q467">
        <v>5</v>
      </c>
      <c r="R467" s="2">
        <v>0</v>
      </c>
      <c r="S467" t="str">
        <f t="shared" si="14"/>
        <v>mid career adult</v>
      </c>
      <c r="T467" t="str">
        <f t="shared" si="15"/>
        <v>Regular Viewer</v>
      </c>
    </row>
    <row r="468" spans="1:20" x14ac:dyDescent="0.3">
      <c r="A468" t="s">
        <v>527</v>
      </c>
      <c r="B468" s="1">
        <v>45629</v>
      </c>
      <c r="C468">
        <v>2024</v>
      </c>
      <c r="D468" t="s">
        <v>39</v>
      </c>
      <c r="E468" t="s">
        <v>20</v>
      </c>
      <c r="F468" t="s">
        <v>21</v>
      </c>
      <c r="G468">
        <v>30</v>
      </c>
      <c r="H468" t="s">
        <v>22</v>
      </c>
      <c r="I468" t="s">
        <v>23</v>
      </c>
      <c r="J468" s="2">
        <v>499</v>
      </c>
      <c r="K468" t="s">
        <v>24</v>
      </c>
      <c r="L468">
        <v>34</v>
      </c>
      <c r="M468" t="s">
        <v>25</v>
      </c>
      <c r="N468" t="s">
        <v>58</v>
      </c>
      <c r="O468">
        <v>38</v>
      </c>
      <c r="P468" t="s">
        <v>27</v>
      </c>
      <c r="Q468">
        <v>3</v>
      </c>
      <c r="R468" s="2">
        <v>499</v>
      </c>
      <c r="S468" t="str">
        <f t="shared" si="14"/>
        <v>Young Professionals</v>
      </c>
      <c r="T468" t="str">
        <f t="shared" si="15"/>
        <v>Regular Viewer</v>
      </c>
    </row>
    <row r="469" spans="1:20" x14ac:dyDescent="0.3">
      <c r="A469" t="s">
        <v>528</v>
      </c>
      <c r="B469" s="1">
        <v>45615</v>
      </c>
      <c r="C469">
        <v>2024</v>
      </c>
      <c r="D469" t="s">
        <v>19</v>
      </c>
      <c r="E469" t="s">
        <v>35</v>
      </c>
      <c r="F469" t="s">
        <v>29</v>
      </c>
      <c r="G469">
        <v>25</v>
      </c>
      <c r="H469" t="s">
        <v>22</v>
      </c>
      <c r="I469" t="s">
        <v>23</v>
      </c>
      <c r="J469" s="2">
        <v>499</v>
      </c>
      <c r="K469" t="s">
        <v>30</v>
      </c>
      <c r="L469">
        <v>45</v>
      </c>
      <c r="M469" t="s">
        <v>41</v>
      </c>
      <c r="N469" t="s">
        <v>26</v>
      </c>
      <c r="O469">
        <v>35</v>
      </c>
      <c r="P469" t="s">
        <v>73</v>
      </c>
      <c r="Q469">
        <v>2</v>
      </c>
      <c r="R469" s="2">
        <v>0</v>
      </c>
      <c r="S469" t="str">
        <f t="shared" si="14"/>
        <v>Young Professionals</v>
      </c>
      <c r="T469" t="str">
        <f t="shared" si="15"/>
        <v>Engaged Viewer</v>
      </c>
    </row>
    <row r="470" spans="1:20" x14ac:dyDescent="0.3">
      <c r="A470" t="s">
        <v>529</v>
      </c>
      <c r="B470" s="1">
        <v>45984</v>
      </c>
      <c r="C470">
        <v>2025</v>
      </c>
      <c r="D470" t="s">
        <v>19</v>
      </c>
      <c r="E470" t="s">
        <v>43</v>
      </c>
      <c r="F470" t="s">
        <v>63</v>
      </c>
      <c r="G470">
        <v>22</v>
      </c>
      <c r="H470" t="s">
        <v>36</v>
      </c>
      <c r="I470" t="s">
        <v>48</v>
      </c>
      <c r="J470" s="2">
        <v>649</v>
      </c>
      <c r="K470" t="s">
        <v>30</v>
      </c>
      <c r="L470">
        <v>25</v>
      </c>
      <c r="M470" t="s">
        <v>41</v>
      </c>
      <c r="N470" t="s">
        <v>26</v>
      </c>
      <c r="O470">
        <v>8</v>
      </c>
      <c r="P470" t="s">
        <v>27</v>
      </c>
      <c r="Q470">
        <v>5</v>
      </c>
      <c r="R470" s="2">
        <v>649</v>
      </c>
      <c r="S470" t="str">
        <f t="shared" si="14"/>
        <v>Genz viewer</v>
      </c>
      <c r="T470" t="str">
        <f t="shared" si="15"/>
        <v>Regular Viewer</v>
      </c>
    </row>
    <row r="471" spans="1:20" x14ac:dyDescent="0.3">
      <c r="A471" t="s">
        <v>530</v>
      </c>
      <c r="B471" s="1">
        <v>45444</v>
      </c>
      <c r="C471">
        <v>2024</v>
      </c>
      <c r="D471" t="s">
        <v>69</v>
      </c>
      <c r="E471" t="s">
        <v>20</v>
      </c>
      <c r="F471" t="s">
        <v>63</v>
      </c>
      <c r="G471">
        <v>18</v>
      </c>
      <c r="H471" t="s">
        <v>36</v>
      </c>
      <c r="I471" t="s">
        <v>37</v>
      </c>
      <c r="J471" s="2">
        <v>199</v>
      </c>
      <c r="K471" t="s">
        <v>24</v>
      </c>
      <c r="L471">
        <v>48</v>
      </c>
      <c r="M471" t="s">
        <v>45</v>
      </c>
      <c r="N471" t="s">
        <v>32</v>
      </c>
      <c r="O471">
        <v>10</v>
      </c>
      <c r="P471" t="s">
        <v>27</v>
      </c>
      <c r="Q471">
        <v>4</v>
      </c>
      <c r="R471" s="2">
        <v>199</v>
      </c>
      <c r="S471" t="str">
        <f t="shared" si="14"/>
        <v>Genz viewer</v>
      </c>
      <c r="T471" t="str">
        <f t="shared" si="15"/>
        <v>Engaged Viewer</v>
      </c>
    </row>
    <row r="472" spans="1:20" x14ac:dyDescent="0.3">
      <c r="A472" t="s">
        <v>531</v>
      </c>
      <c r="B472" s="1">
        <v>45041</v>
      </c>
      <c r="C472">
        <v>2023</v>
      </c>
      <c r="D472" t="s">
        <v>51</v>
      </c>
      <c r="E472" t="s">
        <v>35</v>
      </c>
      <c r="F472" t="s">
        <v>63</v>
      </c>
      <c r="G472">
        <v>29</v>
      </c>
      <c r="H472" t="s">
        <v>36</v>
      </c>
      <c r="I472" t="s">
        <v>48</v>
      </c>
      <c r="J472" s="2">
        <v>649</v>
      </c>
      <c r="K472" t="s">
        <v>30</v>
      </c>
      <c r="L472">
        <v>24</v>
      </c>
      <c r="M472" t="s">
        <v>25</v>
      </c>
      <c r="N472" t="s">
        <v>26</v>
      </c>
      <c r="O472">
        <v>30</v>
      </c>
      <c r="P472" t="s">
        <v>27</v>
      </c>
      <c r="Q472">
        <v>4</v>
      </c>
      <c r="R472" s="2">
        <v>649</v>
      </c>
      <c r="S472" t="str">
        <f t="shared" si="14"/>
        <v>Young Professionals</v>
      </c>
      <c r="T472" t="str">
        <f t="shared" si="15"/>
        <v>Regular Viewer</v>
      </c>
    </row>
    <row r="473" spans="1:20" x14ac:dyDescent="0.3">
      <c r="A473" t="s">
        <v>532</v>
      </c>
      <c r="B473" s="1">
        <v>45188</v>
      </c>
      <c r="C473">
        <v>2023</v>
      </c>
      <c r="D473" t="s">
        <v>60</v>
      </c>
      <c r="E473" t="s">
        <v>35</v>
      </c>
      <c r="F473" t="s">
        <v>63</v>
      </c>
      <c r="G473">
        <v>18</v>
      </c>
      <c r="H473" t="s">
        <v>22</v>
      </c>
      <c r="I473" t="s">
        <v>48</v>
      </c>
      <c r="J473" s="2">
        <v>649</v>
      </c>
      <c r="K473" t="s">
        <v>30</v>
      </c>
      <c r="L473">
        <v>52</v>
      </c>
      <c r="M473" t="s">
        <v>31</v>
      </c>
      <c r="N473" t="s">
        <v>55</v>
      </c>
      <c r="O473">
        <v>32</v>
      </c>
      <c r="P473" t="s">
        <v>27</v>
      </c>
      <c r="Q473">
        <v>3</v>
      </c>
      <c r="R473" s="2">
        <v>649</v>
      </c>
      <c r="S473" t="str">
        <f t="shared" si="14"/>
        <v>Genz viewer</v>
      </c>
      <c r="T473" t="str">
        <f t="shared" si="15"/>
        <v>Binge watcher</v>
      </c>
    </row>
    <row r="474" spans="1:20" x14ac:dyDescent="0.3">
      <c r="A474" t="s">
        <v>533</v>
      </c>
      <c r="B474" s="1">
        <v>45130</v>
      </c>
      <c r="C474">
        <v>2023</v>
      </c>
      <c r="D474" t="s">
        <v>85</v>
      </c>
      <c r="E474" t="s">
        <v>20</v>
      </c>
      <c r="F474" t="s">
        <v>63</v>
      </c>
      <c r="G474">
        <v>42</v>
      </c>
      <c r="H474" t="s">
        <v>36</v>
      </c>
      <c r="I474" t="s">
        <v>48</v>
      </c>
      <c r="J474" s="2">
        <v>649</v>
      </c>
      <c r="K474" t="s">
        <v>67</v>
      </c>
      <c r="L474">
        <v>53</v>
      </c>
      <c r="M474" t="s">
        <v>25</v>
      </c>
      <c r="N474" t="s">
        <v>32</v>
      </c>
      <c r="O474">
        <v>36</v>
      </c>
      <c r="P474" t="s">
        <v>27</v>
      </c>
      <c r="Q474">
        <v>5</v>
      </c>
      <c r="R474" s="2">
        <v>649</v>
      </c>
      <c r="S474" t="str">
        <f t="shared" si="14"/>
        <v>mid career adult</v>
      </c>
      <c r="T474" t="str">
        <f t="shared" si="15"/>
        <v>Binge watcher</v>
      </c>
    </row>
    <row r="475" spans="1:20" x14ac:dyDescent="0.3">
      <c r="A475" t="s">
        <v>534</v>
      </c>
      <c r="B475" s="1">
        <v>44620</v>
      </c>
      <c r="C475">
        <v>2022</v>
      </c>
      <c r="D475" t="s">
        <v>111</v>
      </c>
      <c r="E475" t="s">
        <v>52</v>
      </c>
      <c r="F475" t="s">
        <v>63</v>
      </c>
      <c r="G475">
        <v>22</v>
      </c>
      <c r="H475" t="s">
        <v>36</v>
      </c>
      <c r="I475" t="s">
        <v>48</v>
      </c>
      <c r="J475" s="2">
        <v>649</v>
      </c>
      <c r="K475" t="s">
        <v>53</v>
      </c>
      <c r="L475">
        <v>48</v>
      </c>
      <c r="M475" t="s">
        <v>45</v>
      </c>
      <c r="N475" t="s">
        <v>32</v>
      </c>
      <c r="O475">
        <v>13</v>
      </c>
      <c r="P475" t="s">
        <v>27</v>
      </c>
      <c r="Q475">
        <v>5</v>
      </c>
      <c r="R475" s="2">
        <v>649</v>
      </c>
      <c r="S475" t="str">
        <f t="shared" si="14"/>
        <v>Genz viewer</v>
      </c>
      <c r="T475" t="str">
        <f t="shared" si="15"/>
        <v>Engaged Viewer</v>
      </c>
    </row>
    <row r="476" spans="1:20" x14ac:dyDescent="0.3">
      <c r="A476" t="s">
        <v>535</v>
      </c>
      <c r="B476" s="1">
        <v>44851</v>
      </c>
      <c r="C476">
        <v>2022</v>
      </c>
      <c r="D476" t="s">
        <v>47</v>
      </c>
      <c r="E476" t="s">
        <v>35</v>
      </c>
      <c r="F476" t="s">
        <v>29</v>
      </c>
      <c r="G476">
        <v>30</v>
      </c>
      <c r="H476" t="s">
        <v>36</v>
      </c>
      <c r="I476" t="s">
        <v>48</v>
      </c>
      <c r="J476" s="2">
        <v>649</v>
      </c>
      <c r="K476" t="s">
        <v>40</v>
      </c>
      <c r="L476">
        <v>36</v>
      </c>
      <c r="M476" t="s">
        <v>41</v>
      </c>
      <c r="N476" t="s">
        <v>32</v>
      </c>
      <c r="O476">
        <v>39</v>
      </c>
      <c r="P476" t="s">
        <v>27</v>
      </c>
      <c r="Q476">
        <v>4</v>
      </c>
      <c r="R476" s="2">
        <v>649</v>
      </c>
      <c r="S476" t="str">
        <f t="shared" si="14"/>
        <v>Young Professionals</v>
      </c>
      <c r="T476" t="str">
        <f t="shared" si="15"/>
        <v>Engaged Viewer</v>
      </c>
    </row>
    <row r="477" spans="1:20" x14ac:dyDescent="0.3">
      <c r="A477" t="s">
        <v>536</v>
      </c>
      <c r="B477" s="1">
        <v>45294</v>
      </c>
      <c r="C477">
        <v>2024</v>
      </c>
      <c r="D477" t="s">
        <v>62</v>
      </c>
      <c r="E477" t="s">
        <v>35</v>
      </c>
      <c r="F477" t="s">
        <v>63</v>
      </c>
      <c r="G477">
        <v>24</v>
      </c>
      <c r="H477" t="s">
        <v>36</v>
      </c>
      <c r="I477" t="s">
        <v>48</v>
      </c>
      <c r="J477" s="2">
        <v>649</v>
      </c>
      <c r="K477" t="s">
        <v>57</v>
      </c>
      <c r="L477">
        <v>21</v>
      </c>
      <c r="M477" t="s">
        <v>31</v>
      </c>
      <c r="N477" t="s">
        <v>58</v>
      </c>
      <c r="O477">
        <v>27</v>
      </c>
      <c r="P477" t="s">
        <v>27</v>
      </c>
      <c r="Q477">
        <v>3</v>
      </c>
      <c r="R477" s="2">
        <v>649</v>
      </c>
      <c r="S477" t="str">
        <f t="shared" si="14"/>
        <v>Genz viewer</v>
      </c>
      <c r="T477" t="str">
        <f t="shared" si="15"/>
        <v>Regular Viewer</v>
      </c>
    </row>
    <row r="478" spans="1:20" x14ac:dyDescent="0.3">
      <c r="A478" t="s">
        <v>537</v>
      </c>
      <c r="B478" s="1">
        <v>45985</v>
      </c>
      <c r="C478">
        <v>2025</v>
      </c>
      <c r="D478" t="s">
        <v>19</v>
      </c>
      <c r="E478" t="s">
        <v>35</v>
      </c>
      <c r="F478" t="s">
        <v>63</v>
      </c>
      <c r="G478">
        <v>29</v>
      </c>
      <c r="H478" t="s">
        <v>22</v>
      </c>
      <c r="I478" t="s">
        <v>23</v>
      </c>
      <c r="J478" s="2">
        <v>499</v>
      </c>
      <c r="K478" t="s">
        <v>40</v>
      </c>
      <c r="L478">
        <v>35</v>
      </c>
      <c r="M478" t="s">
        <v>41</v>
      </c>
      <c r="N478" t="s">
        <v>58</v>
      </c>
      <c r="O478">
        <v>32</v>
      </c>
      <c r="P478" t="s">
        <v>27</v>
      </c>
      <c r="Q478">
        <v>5</v>
      </c>
      <c r="R478" s="2">
        <v>499</v>
      </c>
      <c r="S478" t="str">
        <f t="shared" si="14"/>
        <v>Young Professionals</v>
      </c>
      <c r="T478" t="str">
        <f t="shared" si="15"/>
        <v>Regular Viewer</v>
      </c>
    </row>
    <row r="479" spans="1:20" x14ac:dyDescent="0.3">
      <c r="A479" t="s">
        <v>538</v>
      </c>
      <c r="B479" s="1">
        <v>45188</v>
      </c>
      <c r="C479">
        <v>2023</v>
      </c>
      <c r="D479" t="s">
        <v>60</v>
      </c>
      <c r="E479" t="s">
        <v>43</v>
      </c>
      <c r="F479" t="s">
        <v>29</v>
      </c>
      <c r="G479">
        <v>45</v>
      </c>
      <c r="H479" t="s">
        <v>22</v>
      </c>
      <c r="I479" t="s">
        <v>23</v>
      </c>
      <c r="J479" s="2">
        <v>499</v>
      </c>
      <c r="K479" t="s">
        <v>44</v>
      </c>
      <c r="L479">
        <v>57</v>
      </c>
      <c r="M479" t="s">
        <v>25</v>
      </c>
      <c r="N479" t="s">
        <v>58</v>
      </c>
      <c r="O479">
        <v>12</v>
      </c>
      <c r="P479" t="s">
        <v>73</v>
      </c>
      <c r="Q479">
        <v>2</v>
      </c>
      <c r="R479" s="2">
        <v>0</v>
      </c>
      <c r="S479" t="str">
        <f t="shared" si="14"/>
        <v>Mature viewer</v>
      </c>
      <c r="T479" t="str">
        <f t="shared" si="15"/>
        <v>Binge watcher</v>
      </c>
    </row>
    <row r="480" spans="1:20" x14ac:dyDescent="0.3">
      <c r="A480" t="s">
        <v>539</v>
      </c>
      <c r="B480" s="1">
        <v>45297</v>
      </c>
      <c r="C480">
        <v>2024</v>
      </c>
      <c r="D480" t="s">
        <v>62</v>
      </c>
      <c r="E480" t="s">
        <v>35</v>
      </c>
      <c r="F480" t="s">
        <v>21</v>
      </c>
      <c r="G480">
        <v>46</v>
      </c>
      <c r="H480" t="s">
        <v>22</v>
      </c>
      <c r="I480" t="s">
        <v>37</v>
      </c>
      <c r="J480" s="2">
        <v>199</v>
      </c>
      <c r="K480" t="s">
        <v>24</v>
      </c>
      <c r="L480">
        <v>55</v>
      </c>
      <c r="M480" t="s">
        <v>45</v>
      </c>
      <c r="N480" t="s">
        <v>58</v>
      </c>
      <c r="O480">
        <v>2</v>
      </c>
      <c r="P480" t="s">
        <v>27</v>
      </c>
      <c r="Q480">
        <v>3</v>
      </c>
      <c r="R480" s="2">
        <v>199</v>
      </c>
      <c r="S480" t="str">
        <f t="shared" si="14"/>
        <v>Mature viewer</v>
      </c>
      <c r="T480" t="str">
        <f t="shared" si="15"/>
        <v>Binge watcher</v>
      </c>
    </row>
    <row r="481" spans="1:20" x14ac:dyDescent="0.3">
      <c r="A481" t="s">
        <v>540</v>
      </c>
      <c r="B481" s="1">
        <v>45090</v>
      </c>
      <c r="C481">
        <v>2023</v>
      </c>
      <c r="D481" t="s">
        <v>69</v>
      </c>
      <c r="E481" t="s">
        <v>52</v>
      </c>
      <c r="F481" t="s">
        <v>29</v>
      </c>
      <c r="G481">
        <v>20</v>
      </c>
      <c r="H481" t="s">
        <v>36</v>
      </c>
      <c r="I481" t="s">
        <v>23</v>
      </c>
      <c r="J481" s="2">
        <v>499</v>
      </c>
      <c r="K481" t="s">
        <v>75</v>
      </c>
      <c r="L481">
        <v>43</v>
      </c>
      <c r="M481" t="s">
        <v>41</v>
      </c>
      <c r="N481" t="s">
        <v>32</v>
      </c>
      <c r="O481">
        <v>44</v>
      </c>
      <c r="P481" t="s">
        <v>73</v>
      </c>
      <c r="Q481">
        <v>4</v>
      </c>
      <c r="R481" s="2">
        <v>0</v>
      </c>
      <c r="S481" t="str">
        <f t="shared" si="14"/>
        <v>Genz viewer</v>
      </c>
      <c r="T481" t="str">
        <f t="shared" si="15"/>
        <v>Engaged Viewer</v>
      </c>
    </row>
    <row r="482" spans="1:20" x14ac:dyDescent="0.3">
      <c r="A482" t="s">
        <v>541</v>
      </c>
      <c r="B482" s="1">
        <v>45061</v>
      </c>
      <c r="C482">
        <v>2023</v>
      </c>
      <c r="D482" t="s">
        <v>79</v>
      </c>
      <c r="E482" t="s">
        <v>35</v>
      </c>
      <c r="F482" t="s">
        <v>29</v>
      </c>
      <c r="G482">
        <v>45</v>
      </c>
      <c r="H482" t="s">
        <v>36</v>
      </c>
      <c r="I482" t="s">
        <v>23</v>
      </c>
      <c r="J482" s="2">
        <v>499</v>
      </c>
      <c r="K482" t="s">
        <v>75</v>
      </c>
      <c r="L482">
        <v>44</v>
      </c>
      <c r="M482" t="s">
        <v>31</v>
      </c>
      <c r="N482" t="s">
        <v>26</v>
      </c>
      <c r="O482">
        <v>38</v>
      </c>
      <c r="P482" t="s">
        <v>27</v>
      </c>
      <c r="Q482">
        <v>5</v>
      </c>
      <c r="R482" s="2">
        <v>499</v>
      </c>
      <c r="S482" t="str">
        <f t="shared" si="14"/>
        <v>Mature viewer</v>
      </c>
      <c r="T482" t="str">
        <f t="shared" si="15"/>
        <v>Engaged Viewer</v>
      </c>
    </row>
    <row r="483" spans="1:20" x14ac:dyDescent="0.3">
      <c r="A483" t="s">
        <v>542</v>
      </c>
      <c r="B483" s="1">
        <v>45519</v>
      </c>
      <c r="C483">
        <v>2024</v>
      </c>
      <c r="D483" t="s">
        <v>34</v>
      </c>
      <c r="E483" t="s">
        <v>43</v>
      </c>
      <c r="F483" t="s">
        <v>21</v>
      </c>
      <c r="G483">
        <v>32</v>
      </c>
      <c r="H483" t="s">
        <v>22</v>
      </c>
      <c r="I483" t="s">
        <v>37</v>
      </c>
      <c r="J483" s="2">
        <v>199</v>
      </c>
      <c r="K483" t="s">
        <v>44</v>
      </c>
      <c r="L483">
        <v>24</v>
      </c>
      <c r="M483" t="s">
        <v>45</v>
      </c>
      <c r="N483" t="s">
        <v>26</v>
      </c>
      <c r="O483">
        <v>17</v>
      </c>
      <c r="P483" t="s">
        <v>27</v>
      </c>
      <c r="Q483">
        <v>4</v>
      </c>
      <c r="R483" s="2">
        <v>199</v>
      </c>
      <c r="S483" t="str">
        <f t="shared" si="14"/>
        <v>Young Professionals</v>
      </c>
      <c r="T483" t="str">
        <f t="shared" si="15"/>
        <v>Regular Viewer</v>
      </c>
    </row>
    <row r="484" spans="1:20" x14ac:dyDescent="0.3">
      <c r="A484" t="s">
        <v>543</v>
      </c>
      <c r="B484" s="1">
        <v>46021</v>
      </c>
      <c r="C484">
        <v>2025</v>
      </c>
      <c r="D484" t="s">
        <v>39</v>
      </c>
      <c r="E484" t="s">
        <v>35</v>
      </c>
      <c r="F484" t="s">
        <v>21</v>
      </c>
      <c r="G484">
        <v>30</v>
      </c>
      <c r="H484" t="s">
        <v>22</v>
      </c>
      <c r="I484" t="s">
        <v>48</v>
      </c>
      <c r="J484" s="2">
        <v>649</v>
      </c>
      <c r="K484" t="s">
        <v>57</v>
      </c>
      <c r="L484">
        <v>47</v>
      </c>
      <c r="M484" t="s">
        <v>41</v>
      </c>
      <c r="N484" t="s">
        <v>26</v>
      </c>
      <c r="O484">
        <v>38</v>
      </c>
      <c r="P484" t="s">
        <v>27</v>
      </c>
      <c r="Q484">
        <v>3</v>
      </c>
      <c r="R484" s="2">
        <v>649</v>
      </c>
      <c r="S484" t="str">
        <f t="shared" si="14"/>
        <v>Young Professionals</v>
      </c>
      <c r="T484" t="str">
        <f t="shared" si="15"/>
        <v>Engaged Viewer</v>
      </c>
    </row>
    <row r="485" spans="1:20" x14ac:dyDescent="0.3">
      <c r="A485" t="s">
        <v>544</v>
      </c>
      <c r="B485" s="1">
        <v>45602</v>
      </c>
      <c r="C485">
        <v>2024</v>
      </c>
      <c r="D485" t="s">
        <v>19</v>
      </c>
      <c r="E485" t="s">
        <v>20</v>
      </c>
      <c r="F485" t="s">
        <v>29</v>
      </c>
      <c r="G485">
        <v>40</v>
      </c>
      <c r="H485" t="s">
        <v>36</v>
      </c>
      <c r="I485" t="s">
        <v>23</v>
      </c>
      <c r="J485" s="2">
        <v>499</v>
      </c>
      <c r="K485" t="s">
        <v>24</v>
      </c>
      <c r="L485">
        <v>30</v>
      </c>
      <c r="M485" t="s">
        <v>25</v>
      </c>
      <c r="N485" t="s">
        <v>55</v>
      </c>
      <c r="O485">
        <v>28</v>
      </c>
      <c r="P485" t="s">
        <v>27</v>
      </c>
      <c r="Q485">
        <v>5</v>
      </c>
      <c r="R485" s="2">
        <v>499</v>
      </c>
      <c r="S485" t="str">
        <f t="shared" si="14"/>
        <v>mid career adult</v>
      </c>
      <c r="T485" t="str">
        <f t="shared" si="15"/>
        <v>Regular Viewer</v>
      </c>
    </row>
    <row r="486" spans="1:20" x14ac:dyDescent="0.3">
      <c r="A486" t="s">
        <v>545</v>
      </c>
      <c r="B486" s="1">
        <v>45025</v>
      </c>
      <c r="C486">
        <v>2023</v>
      </c>
      <c r="D486" t="s">
        <v>51</v>
      </c>
      <c r="E486" t="s">
        <v>20</v>
      </c>
      <c r="F486" t="s">
        <v>63</v>
      </c>
      <c r="G486">
        <v>38</v>
      </c>
      <c r="H486" t="s">
        <v>22</v>
      </c>
      <c r="I486" t="s">
        <v>23</v>
      </c>
      <c r="J486" s="2">
        <v>499</v>
      </c>
      <c r="K486" t="s">
        <v>44</v>
      </c>
      <c r="L486">
        <v>60</v>
      </c>
      <c r="M486" t="s">
        <v>41</v>
      </c>
      <c r="N486" t="s">
        <v>32</v>
      </c>
      <c r="O486">
        <v>48</v>
      </c>
      <c r="P486" t="s">
        <v>27</v>
      </c>
      <c r="Q486">
        <v>5</v>
      </c>
      <c r="R486" s="2">
        <v>499</v>
      </c>
      <c r="S486" t="str">
        <f t="shared" si="14"/>
        <v>mid career adult</v>
      </c>
      <c r="T486" t="str">
        <f t="shared" si="15"/>
        <v>Binge watcher</v>
      </c>
    </row>
    <row r="487" spans="1:20" x14ac:dyDescent="0.3">
      <c r="A487" t="s">
        <v>546</v>
      </c>
      <c r="B487" s="1">
        <v>44727</v>
      </c>
      <c r="C487">
        <v>2022</v>
      </c>
      <c r="D487" t="s">
        <v>69</v>
      </c>
      <c r="E487" t="s">
        <v>43</v>
      </c>
      <c r="F487" t="s">
        <v>63</v>
      </c>
      <c r="G487">
        <v>45</v>
      </c>
      <c r="H487" t="s">
        <v>36</v>
      </c>
      <c r="I487" t="s">
        <v>37</v>
      </c>
      <c r="J487" s="2">
        <v>199</v>
      </c>
      <c r="K487" t="s">
        <v>44</v>
      </c>
      <c r="L487">
        <v>32</v>
      </c>
      <c r="M487" t="s">
        <v>45</v>
      </c>
      <c r="N487" t="s">
        <v>26</v>
      </c>
      <c r="O487">
        <v>45</v>
      </c>
      <c r="P487" t="s">
        <v>27</v>
      </c>
      <c r="Q487">
        <v>5</v>
      </c>
      <c r="R487" s="2">
        <v>199</v>
      </c>
      <c r="S487" t="str">
        <f t="shared" si="14"/>
        <v>Mature viewer</v>
      </c>
      <c r="T487" t="str">
        <f t="shared" si="15"/>
        <v>Regular Viewer</v>
      </c>
    </row>
    <row r="488" spans="1:20" x14ac:dyDescent="0.3">
      <c r="A488" t="s">
        <v>547</v>
      </c>
      <c r="B488" s="1">
        <v>45124</v>
      </c>
      <c r="C488">
        <v>2023</v>
      </c>
      <c r="D488" t="s">
        <v>85</v>
      </c>
      <c r="E488" t="s">
        <v>52</v>
      </c>
      <c r="F488" t="s">
        <v>29</v>
      </c>
      <c r="G488">
        <v>32</v>
      </c>
      <c r="H488" t="s">
        <v>36</v>
      </c>
      <c r="I488" t="s">
        <v>23</v>
      </c>
      <c r="J488" s="2">
        <v>499</v>
      </c>
      <c r="K488" t="s">
        <v>30</v>
      </c>
      <c r="L488">
        <v>33</v>
      </c>
      <c r="M488" t="s">
        <v>25</v>
      </c>
      <c r="N488" t="s">
        <v>58</v>
      </c>
      <c r="O488">
        <v>37</v>
      </c>
      <c r="P488" t="s">
        <v>27</v>
      </c>
      <c r="Q488">
        <v>5</v>
      </c>
      <c r="R488" s="2">
        <v>499</v>
      </c>
      <c r="S488" t="str">
        <f t="shared" si="14"/>
        <v>Young Professionals</v>
      </c>
      <c r="T488" t="str">
        <f t="shared" si="15"/>
        <v>Regular Viewer</v>
      </c>
    </row>
    <row r="489" spans="1:20" x14ac:dyDescent="0.3">
      <c r="A489" t="s">
        <v>548</v>
      </c>
      <c r="B489" s="1">
        <v>44669</v>
      </c>
      <c r="C489">
        <v>2022</v>
      </c>
      <c r="D489" t="s">
        <v>51</v>
      </c>
      <c r="E489" t="s">
        <v>52</v>
      </c>
      <c r="F489" t="s">
        <v>21</v>
      </c>
      <c r="G489">
        <v>41</v>
      </c>
      <c r="H489" t="s">
        <v>36</v>
      </c>
      <c r="I489" t="s">
        <v>48</v>
      </c>
      <c r="J489" s="2">
        <v>649</v>
      </c>
      <c r="K489" t="s">
        <v>57</v>
      </c>
      <c r="L489">
        <v>25</v>
      </c>
      <c r="M489" t="s">
        <v>25</v>
      </c>
      <c r="N489" t="s">
        <v>32</v>
      </c>
      <c r="O489">
        <v>48</v>
      </c>
      <c r="P489" t="s">
        <v>27</v>
      </c>
      <c r="Q489">
        <v>4</v>
      </c>
      <c r="R489" s="2">
        <v>649</v>
      </c>
      <c r="S489" t="str">
        <f t="shared" si="14"/>
        <v>mid career adult</v>
      </c>
      <c r="T489" t="str">
        <f t="shared" si="15"/>
        <v>Regular Viewer</v>
      </c>
    </row>
    <row r="490" spans="1:20" x14ac:dyDescent="0.3">
      <c r="A490" t="s">
        <v>549</v>
      </c>
      <c r="B490" s="1">
        <v>45466</v>
      </c>
      <c r="C490">
        <v>2024</v>
      </c>
      <c r="D490" t="s">
        <v>69</v>
      </c>
      <c r="E490" t="s">
        <v>20</v>
      </c>
      <c r="F490" t="s">
        <v>63</v>
      </c>
      <c r="G490">
        <v>27</v>
      </c>
      <c r="H490" t="s">
        <v>36</v>
      </c>
      <c r="I490" t="s">
        <v>23</v>
      </c>
      <c r="J490" s="2">
        <v>499</v>
      </c>
      <c r="K490" t="s">
        <v>44</v>
      </c>
      <c r="L490">
        <v>38</v>
      </c>
      <c r="M490" t="s">
        <v>25</v>
      </c>
      <c r="N490" t="s">
        <v>32</v>
      </c>
      <c r="O490">
        <v>10</v>
      </c>
      <c r="P490" t="s">
        <v>27</v>
      </c>
      <c r="Q490">
        <v>3</v>
      </c>
      <c r="R490" s="2">
        <v>499</v>
      </c>
      <c r="S490" t="str">
        <f t="shared" si="14"/>
        <v>Young Professionals</v>
      </c>
      <c r="T490" t="str">
        <f t="shared" si="15"/>
        <v>Engaged Viewer</v>
      </c>
    </row>
    <row r="491" spans="1:20" x14ac:dyDescent="0.3">
      <c r="A491" t="s">
        <v>550</v>
      </c>
      <c r="B491" s="1">
        <v>45449</v>
      </c>
      <c r="C491">
        <v>2024</v>
      </c>
      <c r="D491" t="s">
        <v>69</v>
      </c>
      <c r="E491" t="s">
        <v>20</v>
      </c>
      <c r="F491" t="s">
        <v>29</v>
      </c>
      <c r="G491">
        <v>26</v>
      </c>
      <c r="H491" t="s">
        <v>36</v>
      </c>
      <c r="I491" t="s">
        <v>37</v>
      </c>
      <c r="J491" s="2">
        <v>199</v>
      </c>
      <c r="K491" t="s">
        <v>49</v>
      </c>
      <c r="L491">
        <v>31</v>
      </c>
      <c r="M491" t="s">
        <v>25</v>
      </c>
      <c r="N491" t="s">
        <v>32</v>
      </c>
      <c r="O491">
        <v>42</v>
      </c>
      <c r="P491" t="s">
        <v>27</v>
      </c>
      <c r="Q491">
        <v>5</v>
      </c>
      <c r="R491" s="2">
        <v>199</v>
      </c>
      <c r="S491" t="str">
        <f t="shared" si="14"/>
        <v>Young Professionals</v>
      </c>
      <c r="T491" t="str">
        <f t="shared" si="15"/>
        <v>Regular Viewer</v>
      </c>
    </row>
    <row r="492" spans="1:20" x14ac:dyDescent="0.3">
      <c r="A492" t="s">
        <v>551</v>
      </c>
      <c r="B492" s="1">
        <v>45327</v>
      </c>
      <c r="C492">
        <v>2024</v>
      </c>
      <c r="D492" t="s">
        <v>111</v>
      </c>
      <c r="E492" t="s">
        <v>35</v>
      </c>
      <c r="F492" t="s">
        <v>21</v>
      </c>
      <c r="G492">
        <v>52</v>
      </c>
      <c r="H492" t="s">
        <v>22</v>
      </c>
      <c r="I492" t="s">
        <v>23</v>
      </c>
      <c r="J492" s="2">
        <v>499</v>
      </c>
      <c r="K492" t="s">
        <v>57</v>
      </c>
      <c r="L492">
        <v>50</v>
      </c>
      <c r="M492" t="s">
        <v>25</v>
      </c>
      <c r="N492" t="s">
        <v>58</v>
      </c>
      <c r="O492">
        <v>7</v>
      </c>
      <c r="P492" t="s">
        <v>27</v>
      </c>
      <c r="Q492">
        <v>5</v>
      </c>
      <c r="R492" s="2">
        <v>499</v>
      </c>
      <c r="S492" t="str">
        <f t="shared" si="14"/>
        <v>Mature viewer</v>
      </c>
      <c r="T492" t="str">
        <f t="shared" si="15"/>
        <v>Engaged Viewer</v>
      </c>
    </row>
    <row r="493" spans="1:20" x14ac:dyDescent="0.3">
      <c r="A493" t="s">
        <v>552</v>
      </c>
      <c r="B493" s="1">
        <v>45318</v>
      </c>
      <c r="C493">
        <v>2024</v>
      </c>
      <c r="D493" t="s">
        <v>62</v>
      </c>
      <c r="E493" t="s">
        <v>52</v>
      </c>
      <c r="F493" t="s">
        <v>29</v>
      </c>
      <c r="G493">
        <v>50</v>
      </c>
      <c r="H493" t="s">
        <v>36</v>
      </c>
      <c r="I493" t="s">
        <v>37</v>
      </c>
      <c r="J493" s="2">
        <v>199</v>
      </c>
      <c r="K493" t="s">
        <v>75</v>
      </c>
      <c r="L493">
        <v>47</v>
      </c>
      <c r="M493" t="s">
        <v>31</v>
      </c>
      <c r="N493" t="s">
        <v>32</v>
      </c>
      <c r="O493">
        <v>3</v>
      </c>
      <c r="P493" t="s">
        <v>27</v>
      </c>
      <c r="Q493">
        <v>4</v>
      </c>
      <c r="R493" s="2">
        <v>199</v>
      </c>
      <c r="S493" t="str">
        <f t="shared" si="14"/>
        <v>Mature viewer</v>
      </c>
      <c r="T493" t="str">
        <f t="shared" si="15"/>
        <v>Engaged Viewer</v>
      </c>
    </row>
    <row r="494" spans="1:20" x14ac:dyDescent="0.3">
      <c r="A494" t="s">
        <v>553</v>
      </c>
      <c r="B494" s="1">
        <v>45312</v>
      </c>
      <c r="C494">
        <v>2024</v>
      </c>
      <c r="D494" t="s">
        <v>62</v>
      </c>
      <c r="E494" t="s">
        <v>20</v>
      </c>
      <c r="F494" t="s">
        <v>29</v>
      </c>
      <c r="G494">
        <v>54</v>
      </c>
      <c r="H494" t="s">
        <v>22</v>
      </c>
      <c r="I494" t="s">
        <v>23</v>
      </c>
      <c r="J494" s="2">
        <v>499</v>
      </c>
      <c r="K494" t="s">
        <v>44</v>
      </c>
      <c r="L494">
        <v>21</v>
      </c>
      <c r="M494" t="s">
        <v>41</v>
      </c>
      <c r="N494" t="s">
        <v>32</v>
      </c>
      <c r="O494">
        <v>48</v>
      </c>
      <c r="P494" t="s">
        <v>27</v>
      </c>
      <c r="Q494">
        <v>4</v>
      </c>
      <c r="R494" s="2">
        <v>499</v>
      </c>
      <c r="S494" t="str">
        <f t="shared" si="14"/>
        <v>Mature viewer</v>
      </c>
      <c r="T494" t="str">
        <f t="shared" si="15"/>
        <v>Regular Viewer</v>
      </c>
    </row>
    <row r="495" spans="1:20" x14ac:dyDescent="0.3">
      <c r="A495" t="s">
        <v>554</v>
      </c>
      <c r="B495" s="1">
        <v>45754</v>
      </c>
      <c r="C495">
        <v>2025</v>
      </c>
      <c r="D495" t="s">
        <v>51</v>
      </c>
      <c r="E495" t="s">
        <v>52</v>
      </c>
      <c r="F495" t="s">
        <v>29</v>
      </c>
      <c r="G495">
        <v>53</v>
      </c>
      <c r="H495" t="s">
        <v>22</v>
      </c>
      <c r="I495" t="s">
        <v>37</v>
      </c>
      <c r="J495" s="2">
        <v>199</v>
      </c>
      <c r="K495" t="s">
        <v>30</v>
      </c>
      <c r="L495">
        <v>22</v>
      </c>
      <c r="M495" t="s">
        <v>45</v>
      </c>
      <c r="N495" t="s">
        <v>26</v>
      </c>
      <c r="O495">
        <v>43</v>
      </c>
      <c r="P495" t="s">
        <v>27</v>
      </c>
      <c r="Q495">
        <v>5</v>
      </c>
      <c r="R495" s="2">
        <v>199</v>
      </c>
      <c r="S495" t="str">
        <f t="shared" si="14"/>
        <v>Mature viewer</v>
      </c>
      <c r="T495" t="str">
        <f t="shared" si="15"/>
        <v>Regular Viewer</v>
      </c>
    </row>
    <row r="496" spans="1:20" x14ac:dyDescent="0.3">
      <c r="A496" t="s">
        <v>555</v>
      </c>
      <c r="B496" s="1">
        <v>45372</v>
      </c>
      <c r="C496">
        <v>2024</v>
      </c>
      <c r="D496" t="s">
        <v>66</v>
      </c>
      <c r="E496" t="s">
        <v>20</v>
      </c>
      <c r="F496" t="s">
        <v>21</v>
      </c>
      <c r="G496">
        <v>46</v>
      </c>
      <c r="H496" t="s">
        <v>36</v>
      </c>
      <c r="I496" t="s">
        <v>23</v>
      </c>
      <c r="J496" s="2">
        <v>499</v>
      </c>
      <c r="K496" t="s">
        <v>40</v>
      </c>
      <c r="L496">
        <v>40</v>
      </c>
      <c r="M496" t="s">
        <v>25</v>
      </c>
      <c r="N496" t="s">
        <v>26</v>
      </c>
      <c r="O496">
        <v>7</v>
      </c>
      <c r="P496" t="s">
        <v>73</v>
      </c>
      <c r="Q496">
        <v>4</v>
      </c>
      <c r="R496" s="2">
        <v>0</v>
      </c>
      <c r="S496" t="str">
        <f t="shared" si="14"/>
        <v>Mature viewer</v>
      </c>
      <c r="T496" t="str">
        <f t="shared" si="15"/>
        <v>Engaged Viewer</v>
      </c>
    </row>
    <row r="497" spans="1:20" x14ac:dyDescent="0.3">
      <c r="A497" t="s">
        <v>556</v>
      </c>
      <c r="B497" s="1">
        <v>45589</v>
      </c>
      <c r="C497">
        <v>2024</v>
      </c>
      <c r="D497" t="s">
        <v>47</v>
      </c>
      <c r="E497" t="s">
        <v>20</v>
      </c>
      <c r="F497" t="s">
        <v>29</v>
      </c>
      <c r="G497">
        <v>25</v>
      </c>
      <c r="H497" t="s">
        <v>22</v>
      </c>
      <c r="I497" t="s">
        <v>23</v>
      </c>
      <c r="J497" s="2">
        <v>499</v>
      </c>
      <c r="K497" t="s">
        <v>44</v>
      </c>
      <c r="L497">
        <v>50</v>
      </c>
      <c r="M497" t="s">
        <v>25</v>
      </c>
      <c r="N497" t="s">
        <v>32</v>
      </c>
      <c r="O497">
        <v>39</v>
      </c>
      <c r="P497" t="s">
        <v>73</v>
      </c>
      <c r="Q497">
        <v>3</v>
      </c>
      <c r="R497" s="2">
        <v>0</v>
      </c>
      <c r="S497" t="str">
        <f t="shared" si="14"/>
        <v>Young Professionals</v>
      </c>
      <c r="T497" t="str">
        <f t="shared" si="15"/>
        <v>Engaged Viewer</v>
      </c>
    </row>
    <row r="498" spans="1:20" x14ac:dyDescent="0.3">
      <c r="A498" t="s">
        <v>557</v>
      </c>
      <c r="B498" s="1">
        <v>44981</v>
      </c>
      <c r="C498">
        <v>2023</v>
      </c>
      <c r="D498" t="s">
        <v>111</v>
      </c>
      <c r="E498" t="s">
        <v>52</v>
      </c>
      <c r="F498" t="s">
        <v>21</v>
      </c>
      <c r="G498">
        <v>50</v>
      </c>
      <c r="H498" t="s">
        <v>36</v>
      </c>
      <c r="I498" t="s">
        <v>37</v>
      </c>
      <c r="J498" s="2">
        <v>199</v>
      </c>
      <c r="K498" t="s">
        <v>67</v>
      </c>
      <c r="L498">
        <v>27</v>
      </c>
      <c r="M498" t="s">
        <v>45</v>
      </c>
      <c r="N498" t="s">
        <v>55</v>
      </c>
      <c r="O498">
        <v>25</v>
      </c>
      <c r="P498" t="s">
        <v>27</v>
      </c>
      <c r="Q498">
        <v>4</v>
      </c>
      <c r="R498" s="2">
        <v>199</v>
      </c>
      <c r="S498" t="str">
        <f t="shared" si="14"/>
        <v>Mature viewer</v>
      </c>
      <c r="T498" t="str">
        <f t="shared" si="15"/>
        <v>Regular Viewer</v>
      </c>
    </row>
    <row r="499" spans="1:20" x14ac:dyDescent="0.3">
      <c r="A499" t="s">
        <v>558</v>
      </c>
      <c r="B499" s="1">
        <v>45575</v>
      </c>
      <c r="C499">
        <v>2024</v>
      </c>
      <c r="D499" t="s">
        <v>47</v>
      </c>
      <c r="E499" t="s">
        <v>20</v>
      </c>
      <c r="F499" t="s">
        <v>21</v>
      </c>
      <c r="G499">
        <v>38</v>
      </c>
      <c r="H499" t="s">
        <v>36</v>
      </c>
      <c r="I499" t="s">
        <v>48</v>
      </c>
      <c r="J499" s="2">
        <v>649</v>
      </c>
      <c r="K499" t="s">
        <v>49</v>
      </c>
      <c r="L499">
        <v>41</v>
      </c>
      <c r="M499" t="s">
        <v>41</v>
      </c>
      <c r="N499" t="s">
        <v>58</v>
      </c>
      <c r="O499">
        <v>18</v>
      </c>
      <c r="P499" t="s">
        <v>27</v>
      </c>
      <c r="Q499">
        <v>3</v>
      </c>
      <c r="R499" s="2">
        <v>649</v>
      </c>
      <c r="S499" t="str">
        <f t="shared" si="14"/>
        <v>mid career adult</v>
      </c>
      <c r="T499" t="str">
        <f t="shared" si="15"/>
        <v>Engaged Viewer</v>
      </c>
    </row>
    <row r="500" spans="1:20" x14ac:dyDescent="0.3">
      <c r="A500" t="s">
        <v>559</v>
      </c>
      <c r="B500" s="1">
        <v>45650</v>
      </c>
      <c r="C500">
        <v>2024</v>
      </c>
      <c r="D500" t="s">
        <v>39</v>
      </c>
      <c r="E500" t="s">
        <v>35</v>
      </c>
      <c r="F500" t="s">
        <v>29</v>
      </c>
      <c r="G500">
        <v>46</v>
      </c>
      <c r="H500" t="s">
        <v>36</v>
      </c>
      <c r="I500" t="s">
        <v>48</v>
      </c>
      <c r="J500" s="2">
        <v>649</v>
      </c>
      <c r="K500" t="s">
        <v>44</v>
      </c>
      <c r="L500">
        <v>37</v>
      </c>
      <c r="M500" t="s">
        <v>25</v>
      </c>
      <c r="N500" t="s">
        <v>32</v>
      </c>
      <c r="O500">
        <v>19</v>
      </c>
      <c r="P500" t="s">
        <v>27</v>
      </c>
      <c r="Q500">
        <v>5</v>
      </c>
      <c r="R500" s="2">
        <v>649</v>
      </c>
      <c r="S500" t="str">
        <f t="shared" si="14"/>
        <v>Mature viewer</v>
      </c>
      <c r="T500" t="str">
        <f t="shared" si="15"/>
        <v>Engaged Viewer</v>
      </c>
    </row>
    <row r="501" spans="1:20" x14ac:dyDescent="0.3">
      <c r="A501" t="s">
        <v>560</v>
      </c>
      <c r="B501" s="1">
        <v>44798</v>
      </c>
      <c r="C501">
        <v>2022</v>
      </c>
      <c r="D501" t="s">
        <v>34</v>
      </c>
      <c r="E501" t="s">
        <v>35</v>
      </c>
      <c r="F501" t="s">
        <v>63</v>
      </c>
      <c r="G501">
        <v>47</v>
      </c>
      <c r="H501" t="s">
        <v>22</v>
      </c>
      <c r="I501" t="s">
        <v>37</v>
      </c>
      <c r="J501" s="2">
        <v>199</v>
      </c>
      <c r="K501" t="s">
        <v>57</v>
      </c>
      <c r="L501">
        <v>43</v>
      </c>
      <c r="M501" t="s">
        <v>45</v>
      </c>
      <c r="N501" t="s">
        <v>26</v>
      </c>
      <c r="O501">
        <v>42</v>
      </c>
      <c r="P501" t="s">
        <v>73</v>
      </c>
      <c r="Q501">
        <v>3</v>
      </c>
      <c r="R501" s="2">
        <v>0</v>
      </c>
      <c r="S501" t="str">
        <f t="shared" si="14"/>
        <v>Mature viewer</v>
      </c>
      <c r="T501" t="str">
        <f t="shared" si="15"/>
        <v>Engaged Viewer</v>
      </c>
    </row>
    <row r="502" spans="1:20" x14ac:dyDescent="0.3">
      <c r="A502" t="s">
        <v>561</v>
      </c>
      <c r="B502" s="1">
        <v>45194</v>
      </c>
      <c r="C502">
        <v>2023</v>
      </c>
      <c r="D502" t="s">
        <v>60</v>
      </c>
      <c r="E502" t="s">
        <v>52</v>
      </c>
      <c r="F502" t="s">
        <v>63</v>
      </c>
      <c r="G502">
        <v>38</v>
      </c>
      <c r="H502" t="s">
        <v>22</v>
      </c>
      <c r="I502" t="s">
        <v>23</v>
      </c>
      <c r="J502" s="2">
        <v>499</v>
      </c>
      <c r="K502" t="s">
        <v>44</v>
      </c>
      <c r="L502">
        <v>49</v>
      </c>
      <c r="M502" t="s">
        <v>41</v>
      </c>
      <c r="N502" t="s">
        <v>55</v>
      </c>
      <c r="O502">
        <v>30</v>
      </c>
      <c r="P502" t="s">
        <v>27</v>
      </c>
      <c r="Q502">
        <v>4</v>
      </c>
      <c r="R502" s="2">
        <v>499</v>
      </c>
      <c r="S502" t="str">
        <f t="shared" si="14"/>
        <v>mid career adult</v>
      </c>
      <c r="T502" t="str">
        <f t="shared" si="15"/>
        <v>Engaged Viewer</v>
      </c>
    </row>
    <row r="503" spans="1:20" x14ac:dyDescent="0.3">
      <c r="A503" t="s">
        <v>562</v>
      </c>
      <c r="B503" s="1">
        <v>45003</v>
      </c>
      <c r="C503">
        <v>2023</v>
      </c>
      <c r="D503" t="s">
        <v>66</v>
      </c>
      <c r="E503" t="s">
        <v>43</v>
      </c>
      <c r="F503" t="s">
        <v>63</v>
      </c>
      <c r="G503">
        <v>40</v>
      </c>
      <c r="H503" t="s">
        <v>36</v>
      </c>
      <c r="I503" t="s">
        <v>37</v>
      </c>
      <c r="J503" s="2">
        <v>199</v>
      </c>
      <c r="K503" t="s">
        <v>30</v>
      </c>
      <c r="L503">
        <v>53</v>
      </c>
      <c r="M503" t="s">
        <v>45</v>
      </c>
      <c r="N503" t="s">
        <v>32</v>
      </c>
      <c r="O503">
        <v>13</v>
      </c>
      <c r="P503" t="s">
        <v>73</v>
      </c>
      <c r="Q503">
        <v>5</v>
      </c>
      <c r="R503" s="2">
        <v>0</v>
      </c>
      <c r="S503" t="str">
        <f t="shared" si="14"/>
        <v>mid career adult</v>
      </c>
      <c r="T503" t="str">
        <f t="shared" si="15"/>
        <v>Binge watcher</v>
      </c>
    </row>
    <row r="504" spans="1:20" x14ac:dyDescent="0.3">
      <c r="A504" t="s">
        <v>563</v>
      </c>
      <c r="B504" s="1">
        <v>45610</v>
      </c>
      <c r="C504">
        <v>2024</v>
      </c>
      <c r="D504" t="s">
        <v>19</v>
      </c>
      <c r="E504" t="s">
        <v>20</v>
      </c>
      <c r="F504" t="s">
        <v>29</v>
      </c>
      <c r="G504">
        <v>41</v>
      </c>
      <c r="H504" t="s">
        <v>22</v>
      </c>
      <c r="I504" t="s">
        <v>37</v>
      </c>
      <c r="J504" s="2">
        <v>199</v>
      </c>
      <c r="K504" t="s">
        <v>57</v>
      </c>
      <c r="L504">
        <v>31</v>
      </c>
      <c r="M504" t="s">
        <v>25</v>
      </c>
      <c r="N504" t="s">
        <v>26</v>
      </c>
      <c r="O504">
        <v>35</v>
      </c>
      <c r="P504" t="s">
        <v>27</v>
      </c>
      <c r="Q504">
        <v>3</v>
      </c>
      <c r="R504" s="2">
        <v>199</v>
      </c>
      <c r="S504" t="str">
        <f t="shared" si="14"/>
        <v>mid career adult</v>
      </c>
      <c r="T504" t="str">
        <f t="shared" si="15"/>
        <v>Regular Viewer</v>
      </c>
    </row>
    <row r="505" spans="1:20" x14ac:dyDescent="0.3">
      <c r="A505" t="s">
        <v>564</v>
      </c>
      <c r="B505" s="1">
        <v>45872</v>
      </c>
      <c r="C505">
        <v>2025</v>
      </c>
      <c r="D505" t="s">
        <v>34</v>
      </c>
      <c r="E505" t="s">
        <v>43</v>
      </c>
      <c r="F505" t="s">
        <v>21</v>
      </c>
      <c r="G505">
        <v>18</v>
      </c>
      <c r="H505" t="s">
        <v>36</v>
      </c>
      <c r="I505" t="s">
        <v>23</v>
      </c>
      <c r="J505" s="2">
        <v>499</v>
      </c>
      <c r="K505" t="s">
        <v>44</v>
      </c>
      <c r="L505">
        <v>26</v>
      </c>
      <c r="M505" t="s">
        <v>31</v>
      </c>
      <c r="N505" t="s">
        <v>58</v>
      </c>
      <c r="O505">
        <v>28</v>
      </c>
      <c r="P505" t="s">
        <v>27</v>
      </c>
      <c r="Q505">
        <v>3</v>
      </c>
      <c r="R505" s="2">
        <v>499</v>
      </c>
      <c r="S505" t="str">
        <f t="shared" si="14"/>
        <v>Genz viewer</v>
      </c>
      <c r="T505" t="str">
        <f t="shared" si="15"/>
        <v>Regular Viewer</v>
      </c>
    </row>
    <row r="506" spans="1:20" x14ac:dyDescent="0.3">
      <c r="A506" t="s">
        <v>565</v>
      </c>
      <c r="B506" s="1">
        <v>45620</v>
      </c>
      <c r="C506">
        <v>2024</v>
      </c>
      <c r="D506" t="s">
        <v>19</v>
      </c>
      <c r="E506" t="s">
        <v>43</v>
      </c>
      <c r="F506" t="s">
        <v>63</v>
      </c>
      <c r="G506">
        <v>36</v>
      </c>
      <c r="H506" t="s">
        <v>36</v>
      </c>
      <c r="I506" t="s">
        <v>23</v>
      </c>
      <c r="J506" s="2">
        <v>499</v>
      </c>
      <c r="K506" t="s">
        <v>57</v>
      </c>
      <c r="L506">
        <v>30</v>
      </c>
      <c r="M506" t="s">
        <v>45</v>
      </c>
      <c r="N506" t="s">
        <v>32</v>
      </c>
      <c r="O506">
        <v>36</v>
      </c>
      <c r="P506" t="s">
        <v>27</v>
      </c>
      <c r="Q506">
        <v>5</v>
      </c>
      <c r="R506" s="2">
        <v>499</v>
      </c>
      <c r="S506" t="str">
        <f t="shared" si="14"/>
        <v>mid career adult</v>
      </c>
      <c r="T506" t="str">
        <f t="shared" si="15"/>
        <v>Regular Viewer</v>
      </c>
    </row>
    <row r="507" spans="1:20" x14ac:dyDescent="0.3">
      <c r="A507" t="s">
        <v>566</v>
      </c>
      <c r="B507" s="1">
        <v>45045</v>
      </c>
      <c r="C507">
        <v>2023</v>
      </c>
      <c r="D507" t="s">
        <v>51</v>
      </c>
      <c r="E507" t="s">
        <v>43</v>
      </c>
      <c r="F507" t="s">
        <v>63</v>
      </c>
      <c r="G507">
        <v>29</v>
      </c>
      <c r="H507" t="s">
        <v>22</v>
      </c>
      <c r="I507" t="s">
        <v>23</v>
      </c>
      <c r="J507" s="2">
        <v>499</v>
      </c>
      <c r="K507" t="s">
        <v>57</v>
      </c>
      <c r="L507">
        <v>44</v>
      </c>
      <c r="M507" t="s">
        <v>25</v>
      </c>
      <c r="N507" t="s">
        <v>26</v>
      </c>
      <c r="O507">
        <v>14</v>
      </c>
      <c r="P507" t="s">
        <v>27</v>
      </c>
      <c r="Q507">
        <v>4</v>
      </c>
      <c r="R507" s="2">
        <v>499</v>
      </c>
      <c r="S507" t="str">
        <f t="shared" si="14"/>
        <v>Young Professionals</v>
      </c>
      <c r="T507" t="str">
        <f t="shared" si="15"/>
        <v>Engaged Viewer</v>
      </c>
    </row>
    <row r="508" spans="1:20" x14ac:dyDescent="0.3">
      <c r="A508" t="s">
        <v>567</v>
      </c>
      <c r="B508" s="1">
        <v>44931</v>
      </c>
      <c r="C508">
        <v>2023</v>
      </c>
      <c r="D508" t="s">
        <v>62</v>
      </c>
      <c r="E508" t="s">
        <v>52</v>
      </c>
      <c r="F508" t="s">
        <v>29</v>
      </c>
      <c r="G508">
        <v>25</v>
      </c>
      <c r="H508" t="s">
        <v>36</v>
      </c>
      <c r="I508" t="s">
        <v>37</v>
      </c>
      <c r="J508" s="2">
        <v>199</v>
      </c>
      <c r="K508" t="s">
        <v>49</v>
      </c>
      <c r="L508">
        <v>58</v>
      </c>
      <c r="M508" t="s">
        <v>31</v>
      </c>
      <c r="N508" t="s">
        <v>58</v>
      </c>
      <c r="O508">
        <v>12</v>
      </c>
      <c r="P508" t="s">
        <v>27</v>
      </c>
      <c r="Q508">
        <v>3</v>
      </c>
      <c r="R508" s="2">
        <v>199</v>
      </c>
      <c r="S508" t="str">
        <f t="shared" si="14"/>
        <v>Young Professionals</v>
      </c>
      <c r="T508" t="str">
        <f t="shared" si="15"/>
        <v>Binge watcher</v>
      </c>
    </row>
    <row r="509" spans="1:20" x14ac:dyDescent="0.3">
      <c r="A509" t="s">
        <v>568</v>
      </c>
      <c r="B509" s="1">
        <v>45358</v>
      </c>
      <c r="C509">
        <v>2024</v>
      </c>
      <c r="D509" t="s">
        <v>66</v>
      </c>
      <c r="E509" t="s">
        <v>35</v>
      </c>
      <c r="F509" t="s">
        <v>21</v>
      </c>
      <c r="G509">
        <v>44</v>
      </c>
      <c r="H509" t="s">
        <v>36</v>
      </c>
      <c r="I509" t="s">
        <v>37</v>
      </c>
      <c r="J509" s="2">
        <v>199</v>
      </c>
      <c r="K509" t="s">
        <v>53</v>
      </c>
      <c r="L509">
        <v>21</v>
      </c>
      <c r="M509" t="s">
        <v>31</v>
      </c>
      <c r="N509" t="s">
        <v>55</v>
      </c>
      <c r="O509">
        <v>25</v>
      </c>
      <c r="P509" t="s">
        <v>73</v>
      </c>
      <c r="Q509">
        <v>2</v>
      </c>
      <c r="R509" s="2">
        <v>0</v>
      </c>
      <c r="S509" t="str">
        <f t="shared" si="14"/>
        <v>mid career adult</v>
      </c>
      <c r="T509" t="str">
        <f t="shared" si="15"/>
        <v>Regular Viewer</v>
      </c>
    </row>
    <row r="510" spans="1:20" x14ac:dyDescent="0.3">
      <c r="A510" t="s">
        <v>569</v>
      </c>
      <c r="B510" s="1">
        <v>45416</v>
      </c>
      <c r="C510">
        <v>2024</v>
      </c>
      <c r="D510" t="s">
        <v>79</v>
      </c>
      <c r="E510" t="s">
        <v>35</v>
      </c>
      <c r="F510" t="s">
        <v>63</v>
      </c>
      <c r="G510">
        <v>51</v>
      </c>
      <c r="H510" t="s">
        <v>22</v>
      </c>
      <c r="I510" t="s">
        <v>37</v>
      </c>
      <c r="J510" s="2">
        <v>199</v>
      </c>
      <c r="K510" t="s">
        <v>67</v>
      </c>
      <c r="L510">
        <v>58</v>
      </c>
      <c r="M510" t="s">
        <v>25</v>
      </c>
      <c r="N510" t="s">
        <v>26</v>
      </c>
      <c r="O510">
        <v>7</v>
      </c>
      <c r="P510" t="s">
        <v>27</v>
      </c>
      <c r="Q510">
        <v>5</v>
      </c>
      <c r="R510" s="2">
        <v>199</v>
      </c>
      <c r="S510" t="str">
        <f t="shared" si="14"/>
        <v>Mature viewer</v>
      </c>
      <c r="T510" t="str">
        <f t="shared" si="15"/>
        <v>Binge watcher</v>
      </c>
    </row>
    <row r="511" spans="1:20" x14ac:dyDescent="0.3">
      <c r="A511" t="s">
        <v>570</v>
      </c>
      <c r="B511" s="1">
        <v>45528</v>
      </c>
      <c r="C511">
        <v>2024</v>
      </c>
      <c r="D511" t="s">
        <v>34</v>
      </c>
      <c r="E511" t="s">
        <v>43</v>
      </c>
      <c r="F511" t="s">
        <v>63</v>
      </c>
      <c r="G511">
        <v>53</v>
      </c>
      <c r="H511" t="s">
        <v>36</v>
      </c>
      <c r="I511" t="s">
        <v>23</v>
      </c>
      <c r="J511" s="2">
        <v>499</v>
      </c>
      <c r="K511" t="s">
        <v>30</v>
      </c>
      <c r="L511">
        <v>44</v>
      </c>
      <c r="M511" t="s">
        <v>31</v>
      </c>
      <c r="N511" t="s">
        <v>55</v>
      </c>
      <c r="O511">
        <v>5</v>
      </c>
      <c r="P511" t="s">
        <v>27</v>
      </c>
      <c r="Q511">
        <v>5</v>
      </c>
      <c r="R511" s="2">
        <v>499</v>
      </c>
      <c r="S511" t="str">
        <f t="shared" si="14"/>
        <v>Mature viewer</v>
      </c>
      <c r="T511" t="str">
        <f t="shared" si="15"/>
        <v>Engaged Viewer</v>
      </c>
    </row>
    <row r="512" spans="1:20" x14ac:dyDescent="0.3">
      <c r="A512" t="s">
        <v>571</v>
      </c>
      <c r="B512" s="1">
        <v>45806</v>
      </c>
      <c r="C512">
        <v>2025</v>
      </c>
      <c r="D512" t="s">
        <v>79</v>
      </c>
      <c r="E512" t="s">
        <v>43</v>
      </c>
      <c r="F512" t="s">
        <v>21</v>
      </c>
      <c r="G512">
        <v>39</v>
      </c>
      <c r="H512" t="s">
        <v>36</v>
      </c>
      <c r="I512" t="s">
        <v>37</v>
      </c>
      <c r="J512" s="2">
        <v>199</v>
      </c>
      <c r="K512" t="s">
        <v>49</v>
      </c>
      <c r="L512">
        <v>48</v>
      </c>
      <c r="M512" t="s">
        <v>31</v>
      </c>
      <c r="N512" t="s">
        <v>32</v>
      </c>
      <c r="O512">
        <v>32</v>
      </c>
      <c r="P512" t="s">
        <v>27</v>
      </c>
      <c r="Q512">
        <v>3</v>
      </c>
      <c r="R512" s="2">
        <v>199</v>
      </c>
      <c r="S512" t="str">
        <f t="shared" si="14"/>
        <v>mid career adult</v>
      </c>
      <c r="T512" t="str">
        <f t="shared" si="15"/>
        <v>Engaged Viewer</v>
      </c>
    </row>
    <row r="513" spans="1:20" x14ac:dyDescent="0.3">
      <c r="A513" t="s">
        <v>572</v>
      </c>
      <c r="B513" s="1">
        <v>45003</v>
      </c>
      <c r="C513">
        <v>2023</v>
      </c>
      <c r="D513" t="s">
        <v>66</v>
      </c>
      <c r="E513" t="s">
        <v>52</v>
      </c>
      <c r="F513" t="s">
        <v>21</v>
      </c>
      <c r="G513">
        <v>32</v>
      </c>
      <c r="H513" t="s">
        <v>22</v>
      </c>
      <c r="I513" t="s">
        <v>23</v>
      </c>
      <c r="J513" s="2">
        <v>499</v>
      </c>
      <c r="K513" t="s">
        <v>40</v>
      </c>
      <c r="L513">
        <v>25</v>
      </c>
      <c r="M513" t="s">
        <v>41</v>
      </c>
      <c r="N513" t="s">
        <v>26</v>
      </c>
      <c r="O513">
        <v>2</v>
      </c>
      <c r="P513" t="s">
        <v>27</v>
      </c>
      <c r="Q513">
        <v>5</v>
      </c>
      <c r="R513" s="2">
        <v>499</v>
      </c>
      <c r="S513" t="str">
        <f t="shared" si="14"/>
        <v>Young Professionals</v>
      </c>
      <c r="T513" t="str">
        <f t="shared" si="15"/>
        <v>Regular Viewer</v>
      </c>
    </row>
    <row r="514" spans="1:20" x14ac:dyDescent="0.3">
      <c r="A514" t="s">
        <v>573</v>
      </c>
      <c r="B514" s="1">
        <v>45574</v>
      </c>
      <c r="C514">
        <v>2024</v>
      </c>
      <c r="D514" t="s">
        <v>47</v>
      </c>
      <c r="E514" t="s">
        <v>52</v>
      </c>
      <c r="F514" t="s">
        <v>63</v>
      </c>
      <c r="G514">
        <v>26</v>
      </c>
      <c r="H514" t="s">
        <v>22</v>
      </c>
      <c r="I514" t="s">
        <v>37</v>
      </c>
      <c r="J514" s="2">
        <v>199</v>
      </c>
      <c r="K514" t="s">
        <v>49</v>
      </c>
      <c r="L514">
        <v>54</v>
      </c>
      <c r="M514" t="s">
        <v>41</v>
      </c>
      <c r="N514" t="s">
        <v>55</v>
      </c>
      <c r="O514">
        <v>25</v>
      </c>
      <c r="P514" t="s">
        <v>27</v>
      </c>
      <c r="Q514">
        <v>3</v>
      </c>
      <c r="R514" s="2">
        <v>199</v>
      </c>
      <c r="S514" t="str">
        <f t="shared" si="14"/>
        <v>Young Professionals</v>
      </c>
      <c r="T514" t="str">
        <f t="shared" si="15"/>
        <v>Binge watcher</v>
      </c>
    </row>
    <row r="515" spans="1:20" x14ac:dyDescent="0.3">
      <c r="A515" t="s">
        <v>574</v>
      </c>
      <c r="B515" s="1">
        <v>44704</v>
      </c>
      <c r="C515">
        <v>2022</v>
      </c>
      <c r="D515" t="s">
        <v>79</v>
      </c>
      <c r="E515" t="s">
        <v>20</v>
      </c>
      <c r="F515" t="s">
        <v>29</v>
      </c>
      <c r="G515">
        <v>22</v>
      </c>
      <c r="H515" t="s">
        <v>36</v>
      </c>
      <c r="I515" t="s">
        <v>23</v>
      </c>
      <c r="J515" s="2">
        <v>499</v>
      </c>
      <c r="K515" t="s">
        <v>75</v>
      </c>
      <c r="L515">
        <v>52</v>
      </c>
      <c r="M515" t="s">
        <v>45</v>
      </c>
      <c r="N515" t="s">
        <v>32</v>
      </c>
      <c r="O515">
        <v>32</v>
      </c>
      <c r="P515" t="s">
        <v>73</v>
      </c>
      <c r="Q515">
        <v>2</v>
      </c>
      <c r="R515" s="2">
        <v>0</v>
      </c>
      <c r="S515" t="str">
        <f t="shared" ref="S515:S578" si="16">IF(G515&lt;=24,"Genz viewer",IF(G515&lt;=34,"Young Professionals",IF(G515&lt;=44,"mid career adult",IF(G515&lt;=54,"Mature viewer","senior viewer"))))</f>
        <v>Genz viewer</v>
      </c>
      <c r="T515" t="str">
        <f t="shared" ref="T515:T578" si="17">IF(L515&lt;=20,"Casual Viewer",IF(L515&lt;=35,"Regular Viewer", IF(L515&lt;=50,"Engaged Viewer","Binge watcher")))</f>
        <v>Binge watcher</v>
      </c>
    </row>
    <row r="516" spans="1:20" x14ac:dyDescent="0.3">
      <c r="A516" t="s">
        <v>575</v>
      </c>
      <c r="B516" s="1">
        <v>44943</v>
      </c>
      <c r="C516">
        <v>2023</v>
      </c>
      <c r="D516" t="s">
        <v>62</v>
      </c>
      <c r="E516" t="s">
        <v>35</v>
      </c>
      <c r="F516" t="s">
        <v>63</v>
      </c>
      <c r="G516">
        <v>47</v>
      </c>
      <c r="H516" t="s">
        <v>36</v>
      </c>
      <c r="I516" t="s">
        <v>37</v>
      </c>
      <c r="J516" s="2">
        <v>199</v>
      </c>
      <c r="K516" t="s">
        <v>49</v>
      </c>
      <c r="L516">
        <v>34</v>
      </c>
      <c r="M516" t="s">
        <v>25</v>
      </c>
      <c r="N516" t="s">
        <v>32</v>
      </c>
      <c r="O516">
        <v>48</v>
      </c>
      <c r="P516" t="s">
        <v>27</v>
      </c>
      <c r="Q516">
        <v>4</v>
      </c>
      <c r="R516" s="2">
        <v>199</v>
      </c>
      <c r="S516" t="str">
        <f t="shared" si="16"/>
        <v>Mature viewer</v>
      </c>
      <c r="T516" t="str">
        <f t="shared" si="17"/>
        <v>Regular Viewer</v>
      </c>
    </row>
    <row r="517" spans="1:20" x14ac:dyDescent="0.3">
      <c r="A517" t="s">
        <v>576</v>
      </c>
      <c r="B517" s="1">
        <v>45465</v>
      </c>
      <c r="C517">
        <v>2024</v>
      </c>
      <c r="D517" t="s">
        <v>69</v>
      </c>
      <c r="E517" t="s">
        <v>35</v>
      </c>
      <c r="F517" t="s">
        <v>63</v>
      </c>
      <c r="G517">
        <v>20</v>
      </c>
      <c r="H517" t="s">
        <v>36</v>
      </c>
      <c r="I517" t="s">
        <v>48</v>
      </c>
      <c r="J517" s="2">
        <v>649</v>
      </c>
      <c r="K517" t="s">
        <v>57</v>
      </c>
      <c r="L517">
        <v>48</v>
      </c>
      <c r="M517" t="s">
        <v>45</v>
      </c>
      <c r="N517" t="s">
        <v>58</v>
      </c>
      <c r="O517">
        <v>45</v>
      </c>
      <c r="P517" t="s">
        <v>27</v>
      </c>
      <c r="Q517">
        <v>3</v>
      </c>
      <c r="R517" s="2">
        <v>649</v>
      </c>
      <c r="S517" t="str">
        <f t="shared" si="16"/>
        <v>Genz viewer</v>
      </c>
      <c r="T517" t="str">
        <f t="shared" si="17"/>
        <v>Engaged Viewer</v>
      </c>
    </row>
    <row r="518" spans="1:20" x14ac:dyDescent="0.3">
      <c r="A518" t="s">
        <v>577</v>
      </c>
      <c r="B518" s="1">
        <v>44891</v>
      </c>
      <c r="C518">
        <v>2022</v>
      </c>
      <c r="D518" t="s">
        <v>19</v>
      </c>
      <c r="E518" t="s">
        <v>43</v>
      </c>
      <c r="F518" t="s">
        <v>63</v>
      </c>
      <c r="G518">
        <v>38</v>
      </c>
      <c r="H518" t="s">
        <v>36</v>
      </c>
      <c r="I518" t="s">
        <v>48</v>
      </c>
      <c r="J518" s="2">
        <v>649</v>
      </c>
      <c r="K518" t="s">
        <v>53</v>
      </c>
      <c r="L518">
        <v>30</v>
      </c>
      <c r="M518" t="s">
        <v>41</v>
      </c>
      <c r="N518" t="s">
        <v>32</v>
      </c>
      <c r="O518">
        <v>15</v>
      </c>
      <c r="P518" t="s">
        <v>27</v>
      </c>
      <c r="Q518">
        <v>5</v>
      </c>
      <c r="R518" s="2">
        <v>649</v>
      </c>
      <c r="S518" t="str">
        <f t="shared" si="16"/>
        <v>mid career adult</v>
      </c>
      <c r="T518" t="str">
        <f t="shared" si="17"/>
        <v>Regular Viewer</v>
      </c>
    </row>
    <row r="519" spans="1:20" x14ac:dyDescent="0.3">
      <c r="A519" t="s">
        <v>578</v>
      </c>
      <c r="B519" s="1">
        <v>45608</v>
      </c>
      <c r="C519">
        <v>2024</v>
      </c>
      <c r="D519" t="s">
        <v>19</v>
      </c>
      <c r="E519" t="s">
        <v>52</v>
      </c>
      <c r="F519" t="s">
        <v>63</v>
      </c>
      <c r="G519">
        <v>42</v>
      </c>
      <c r="H519" t="s">
        <v>36</v>
      </c>
      <c r="I519" t="s">
        <v>23</v>
      </c>
      <c r="J519" s="2">
        <v>499</v>
      </c>
      <c r="K519" t="s">
        <v>57</v>
      </c>
      <c r="L519">
        <v>46</v>
      </c>
      <c r="M519" t="s">
        <v>45</v>
      </c>
      <c r="N519" t="s">
        <v>58</v>
      </c>
      <c r="O519">
        <v>29</v>
      </c>
      <c r="P519" t="s">
        <v>27</v>
      </c>
      <c r="Q519">
        <v>5</v>
      </c>
      <c r="R519" s="2">
        <v>499</v>
      </c>
      <c r="S519" t="str">
        <f t="shared" si="16"/>
        <v>mid career adult</v>
      </c>
      <c r="T519" t="str">
        <f t="shared" si="17"/>
        <v>Engaged Viewer</v>
      </c>
    </row>
    <row r="520" spans="1:20" x14ac:dyDescent="0.3">
      <c r="A520" t="s">
        <v>579</v>
      </c>
      <c r="B520" s="1">
        <v>45001</v>
      </c>
      <c r="C520">
        <v>2023</v>
      </c>
      <c r="D520" t="s">
        <v>66</v>
      </c>
      <c r="E520" t="s">
        <v>35</v>
      </c>
      <c r="F520" t="s">
        <v>63</v>
      </c>
      <c r="G520">
        <v>24</v>
      </c>
      <c r="H520" t="s">
        <v>36</v>
      </c>
      <c r="I520" t="s">
        <v>48</v>
      </c>
      <c r="J520" s="2">
        <v>649</v>
      </c>
      <c r="K520" t="s">
        <v>49</v>
      </c>
      <c r="L520">
        <v>24</v>
      </c>
      <c r="M520" t="s">
        <v>45</v>
      </c>
      <c r="N520" t="s">
        <v>55</v>
      </c>
      <c r="O520">
        <v>12</v>
      </c>
      <c r="P520" t="s">
        <v>27</v>
      </c>
      <c r="Q520">
        <v>4</v>
      </c>
      <c r="R520" s="2">
        <v>649</v>
      </c>
      <c r="S520" t="str">
        <f t="shared" si="16"/>
        <v>Genz viewer</v>
      </c>
      <c r="T520" t="str">
        <f t="shared" si="17"/>
        <v>Regular Viewer</v>
      </c>
    </row>
    <row r="521" spans="1:20" x14ac:dyDescent="0.3">
      <c r="A521" t="s">
        <v>580</v>
      </c>
      <c r="B521" s="1">
        <v>44900</v>
      </c>
      <c r="C521">
        <v>2022</v>
      </c>
      <c r="D521" t="s">
        <v>39</v>
      </c>
      <c r="E521" t="s">
        <v>52</v>
      </c>
      <c r="F521" t="s">
        <v>29</v>
      </c>
      <c r="G521">
        <v>27</v>
      </c>
      <c r="H521" t="s">
        <v>22</v>
      </c>
      <c r="I521" t="s">
        <v>23</v>
      </c>
      <c r="J521" s="2">
        <v>499</v>
      </c>
      <c r="K521" t="s">
        <v>40</v>
      </c>
      <c r="L521">
        <v>51</v>
      </c>
      <c r="M521" t="s">
        <v>25</v>
      </c>
      <c r="N521" t="s">
        <v>26</v>
      </c>
      <c r="O521">
        <v>42</v>
      </c>
      <c r="P521" t="s">
        <v>73</v>
      </c>
      <c r="Q521">
        <v>2</v>
      </c>
      <c r="R521" s="2">
        <v>0</v>
      </c>
      <c r="S521" t="str">
        <f t="shared" si="16"/>
        <v>Young Professionals</v>
      </c>
      <c r="T521" t="str">
        <f t="shared" si="17"/>
        <v>Binge watcher</v>
      </c>
    </row>
    <row r="522" spans="1:20" x14ac:dyDescent="0.3">
      <c r="A522" t="s">
        <v>581</v>
      </c>
      <c r="B522" s="1">
        <v>45768</v>
      </c>
      <c r="C522">
        <v>2025</v>
      </c>
      <c r="D522" t="s">
        <v>51</v>
      </c>
      <c r="E522" t="s">
        <v>43</v>
      </c>
      <c r="F522" t="s">
        <v>63</v>
      </c>
      <c r="G522">
        <v>44</v>
      </c>
      <c r="H522" t="s">
        <v>22</v>
      </c>
      <c r="I522" t="s">
        <v>23</v>
      </c>
      <c r="J522" s="2">
        <v>499</v>
      </c>
      <c r="K522" t="s">
        <v>40</v>
      </c>
      <c r="L522">
        <v>25</v>
      </c>
      <c r="M522" t="s">
        <v>45</v>
      </c>
      <c r="N522" t="s">
        <v>55</v>
      </c>
      <c r="O522">
        <v>26</v>
      </c>
      <c r="P522" t="s">
        <v>27</v>
      </c>
      <c r="Q522">
        <v>4</v>
      </c>
      <c r="R522" s="2">
        <v>499</v>
      </c>
      <c r="S522" t="str">
        <f t="shared" si="16"/>
        <v>mid career adult</v>
      </c>
      <c r="T522" t="str">
        <f t="shared" si="17"/>
        <v>Regular Viewer</v>
      </c>
    </row>
    <row r="523" spans="1:20" x14ac:dyDescent="0.3">
      <c r="A523" t="s">
        <v>582</v>
      </c>
      <c r="B523" s="1">
        <v>44886</v>
      </c>
      <c r="C523">
        <v>2022</v>
      </c>
      <c r="D523" t="s">
        <v>19</v>
      </c>
      <c r="E523" t="s">
        <v>35</v>
      </c>
      <c r="F523" t="s">
        <v>29</v>
      </c>
      <c r="G523">
        <v>45</v>
      </c>
      <c r="H523" t="s">
        <v>22</v>
      </c>
      <c r="I523" t="s">
        <v>37</v>
      </c>
      <c r="J523" s="2">
        <v>199</v>
      </c>
      <c r="K523" t="s">
        <v>75</v>
      </c>
      <c r="L523">
        <v>30</v>
      </c>
      <c r="M523" t="s">
        <v>45</v>
      </c>
      <c r="N523" t="s">
        <v>32</v>
      </c>
      <c r="O523">
        <v>26</v>
      </c>
      <c r="P523" t="s">
        <v>27</v>
      </c>
      <c r="Q523">
        <v>3</v>
      </c>
      <c r="R523" s="2">
        <v>199</v>
      </c>
      <c r="S523" t="str">
        <f t="shared" si="16"/>
        <v>Mature viewer</v>
      </c>
      <c r="T523" t="str">
        <f t="shared" si="17"/>
        <v>Regular Viewer</v>
      </c>
    </row>
    <row r="524" spans="1:20" x14ac:dyDescent="0.3">
      <c r="A524" t="s">
        <v>583</v>
      </c>
      <c r="B524" s="1">
        <v>45946</v>
      </c>
      <c r="C524">
        <v>2025</v>
      </c>
      <c r="D524" t="s">
        <v>47</v>
      </c>
      <c r="E524" t="s">
        <v>52</v>
      </c>
      <c r="F524" t="s">
        <v>21</v>
      </c>
      <c r="G524">
        <v>31</v>
      </c>
      <c r="H524" t="s">
        <v>36</v>
      </c>
      <c r="I524" t="s">
        <v>37</v>
      </c>
      <c r="J524" s="2">
        <v>199</v>
      </c>
      <c r="K524" t="s">
        <v>44</v>
      </c>
      <c r="L524">
        <v>54</v>
      </c>
      <c r="M524" t="s">
        <v>41</v>
      </c>
      <c r="N524" t="s">
        <v>26</v>
      </c>
      <c r="O524">
        <v>42</v>
      </c>
      <c r="P524" t="s">
        <v>27</v>
      </c>
      <c r="Q524">
        <v>3</v>
      </c>
      <c r="R524" s="2">
        <v>199</v>
      </c>
      <c r="S524" t="str">
        <f t="shared" si="16"/>
        <v>Young Professionals</v>
      </c>
      <c r="T524" t="str">
        <f t="shared" si="17"/>
        <v>Binge watcher</v>
      </c>
    </row>
    <row r="525" spans="1:20" x14ac:dyDescent="0.3">
      <c r="A525" t="s">
        <v>584</v>
      </c>
      <c r="B525" s="1">
        <v>44682</v>
      </c>
      <c r="C525">
        <v>2022</v>
      </c>
      <c r="D525" t="s">
        <v>79</v>
      </c>
      <c r="E525" t="s">
        <v>43</v>
      </c>
      <c r="F525" t="s">
        <v>29</v>
      </c>
      <c r="G525">
        <v>27</v>
      </c>
      <c r="H525" t="s">
        <v>22</v>
      </c>
      <c r="I525" t="s">
        <v>37</v>
      </c>
      <c r="J525" s="2">
        <v>199</v>
      </c>
      <c r="K525" t="s">
        <v>67</v>
      </c>
      <c r="L525">
        <v>54</v>
      </c>
      <c r="M525" t="s">
        <v>31</v>
      </c>
      <c r="N525" t="s">
        <v>58</v>
      </c>
      <c r="O525">
        <v>32</v>
      </c>
      <c r="P525" t="s">
        <v>27</v>
      </c>
      <c r="Q525">
        <v>5</v>
      </c>
      <c r="R525" s="2">
        <v>199</v>
      </c>
      <c r="S525" t="str">
        <f t="shared" si="16"/>
        <v>Young Professionals</v>
      </c>
      <c r="T525" t="str">
        <f t="shared" si="17"/>
        <v>Binge watcher</v>
      </c>
    </row>
    <row r="526" spans="1:20" x14ac:dyDescent="0.3">
      <c r="A526" t="s">
        <v>585</v>
      </c>
      <c r="B526" s="1">
        <v>44849</v>
      </c>
      <c r="C526">
        <v>2022</v>
      </c>
      <c r="D526" t="s">
        <v>47</v>
      </c>
      <c r="E526" t="s">
        <v>35</v>
      </c>
      <c r="F526" t="s">
        <v>29</v>
      </c>
      <c r="G526">
        <v>27</v>
      </c>
      <c r="H526" t="s">
        <v>22</v>
      </c>
      <c r="I526" t="s">
        <v>23</v>
      </c>
      <c r="J526" s="2">
        <v>499</v>
      </c>
      <c r="K526" t="s">
        <v>44</v>
      </c>
      <c r="L526">
        <v>23</v>
      </c>
      <c r="M526" t="s">
        <v>45</v>
      </c>
      <c r="N526" t="s">
        <v>55</v>
      </c>
      <c r="O526">
        <v>48</v>
      </c>
      <c r="P526" t="s">
        <v>27</v>
      </c>
      <c r="Q526">
        <v>3</v>
      </c>
      <c r="R526" s="2">
        <v>499</v>
      </c>
      <c r="S526" t="str">
        <f t="shared" si="16"/>
        <v>Young Professionals</v>
      </c>
      <c r="T526" t="str">
        <f t="shared" si="17"/>
        <v>Regular Viewer</v>
      </c>
    </row>
    <row r="527" spans="1:20" x14ac:dyDescent="0.3">
      <c r="A527" t="s">
        <v>586</v>
      </c>
      <c r="B527" s="1">
        <v>45051</v>
      </c>
      <c r="C527">
        <v>2023</v>
      </c>
      <c r="D527" t="s">
        <v>79</v>
      </c>
      <c r="E527" t="s">
        <v>35</v>
      </c>
      <c r="F527" t="s">
        <v>29</v>
      </c>
      <c r="G527">
        <v>37</v>
      </c>
      <c r="H527" t="s">
        <v>22</v>
      </c>
      <c r="I527" t="s">
        <v>23</v>
      </c>
      <c r="J527" s="2">
        <v>499</v>
      </c>
      <c r="K527" t="s">
        <v>24</v>
      </c>
      <c r="L527">
        <v>58</v>
      </c>
      <c r="M527" t="s">
        <v>41</v>
      </c>
      <c r="N527" t="s">
        <v>26</v>
      </c>
      <c r="O527">
        <v>6</v>
      </c>
      <c r="P527" t="s">
        <v>27</v>
      </c>
      <c r="Q527">
        <v>4</v>
      </c>
      <c r="R527" s="2">
        <v>499</v>
      </c>
      <c r="S527" t="str">
        <f t="shared" si="16"/>
        <v>mid career adult</v>
      </c>
      <c r="T527" t="str">
        <f t="shared" si="17"/>
        <v>Binge watcher</v>
      </c>
    </row>
    <row r="528" spans="1:20" x14ac:dyDescent="0.3">
      <c r="A528" t="s">
        <v>587</v>
      </c>
      <c r="B528" s="1">
        <v>44972</v>
      </c>
      <c r="C528">
        <v>2023</v>
      </c>
      <c r="D528" t="s">
        <v>111</v>
      </c>
      <c r="E528" t="s">
        <v>20</v>
      </c>
      <c r="F528" t="s">
        <v>29</v>
      </c>
      <c r="G528">
        <v>46</v>
      </c>
      <c r="H528" t="s">
        <v>22</v>
      </c>
      <c r="I528" t="s">
        <v>23</v>
      </c>
      <c r="J528" s="2">
        <v>499</v>
      </c>
      <c r="K528" t="s">
        <v>67</v>
      </c>
      <c r="L528">
        <v>60</v>
      </c>
      <c r="M528" t="s">
        <v>45</v>
      </c>
      <c r="N528" t="s">
        <v>55</v>
      </c>
      <c r="O528">
        <v>19</v>
      </c>
      <c r="P528" t="s">
        <v>27</v>
      </c>
      <c r="Q528">
        <v>4</v>
      </c>
      <c r="R528" s="2">
        <v>499</v>
      </c>
      <c r="S528" t="str">
        <f t="shared" si="16"/>
        <v>Mature viewer</v>
      </c>
      <c r="T528" t="str">
        <f t="shared" si="17"/>
        <v>Binge watcher</v>
      </c>
    </row>
    <row r="529" spans="1:20" x14ac:dyDescent="0.3">
      <c r="A529" t="s">
        <v>588</v>
      </c>
      <c r="B529" s="1">
        <v>45461</v>
      </c>
      <c r="C529">
        <v>2024</v>
      </c>
      <c r="D529" t="s">
        <v>69</v>
      </c>
      <c r="E529" t="s">
        <v>20</v>
      </c>
      <c r="F529" t="s">
        <v>21</v>
      </c>
      <c r="G529">
        <v>18</v>
      </c>
      <c r="H529" t="s">
        <v>36</v>
      </c>
      <c r="I529" t="s">
        <v>37</v>
      </c>
      <c r="J529" s="2">
        <v>199</v>
      </c>
      <c r="K529" t="s">
        <v>53</v>
      </c>
      <c r="L529">
        <v>56</v>
      </c>
      <c r="M529" t="s">
        <v>41</v>
      </c>
      <c r="N529" t="s">
        <v>55</v>
      </c>
      <c r="O529">
        <v>29</v>
      </c>
      <c r="P529" t="s">
        <v>27</v>
      </c>
      <c r="Q529">
        <v>3</v>
      </c>
      <c r="R529" s="2">
        <v>199</v>
      </c>
      <c r="S529" t="str">
        <f t="shared" si="16"/>
        <v>Genz viewer</v>
      </c>
      <c r="T529" t="str">
        <f t="shared" si="17"/>
        <v>Binge watcher</v>
      </c>
    </row>
    <row r="530" spans="1:20" x14ac:dyDescent="0.3">
      <c r="A530" t="s">
        <v>589</v>
      </c>
      <c r="B530" s="1">
        <v>45992</v>
      </c>
      <c r="C530">
        <v>2025</v>
      </c>
      <c r="D530" t="s">
        <v>39</v>
      </c>
      <c r="E530" t="s">
        <v>43</v>
      </c>
      <c r="F530" t="s">
        <v>63</v>
      </c>
      <c r="G530">
        <v>28</v>
      </c>
      <c r="H530" t="s">
        <v>22</v>
      </c>
      <c r="I530" t="s">
        <v>37</v>
      </c>
      <c r="J530" s="2">
        <v>199</v>
      </c>
      <c r="K530" t="s">
        <v>24</v>
      </c>
      <c r="L530">
        <v>33</v>
      </c>
      <c r="M530" t="s">
        <v>41</v>
      </c>
      <c r="N530" t="s">
        <v>55</v>
      </c>
      <c r="O530">
        <v>32</v>
      </c>
      <c r="P530" t="s">
        <v>27</v>
      </c>
      <c r="Q530">
        <v>3</v>
      </c>
      <c r="R530" s="2">
        <v>199</v>
      </c>
      <c r="S530" t="str">
        <f t="shared" si="16"/>
        <v>Young Professionals</v>
      </c>
      <c r="T530" t="str">
        <f t="shared" si="17"/>
        <v>Regular Viewer</v>
      </c>
    </row>
    <row r="531" spans="1:20" x14ac:dyDescent="0.3">
      <c r="A531" t="s">
        <v>590</v>
      </c>
      <c r="B531" s="1">
        <v>45539</v>
      </c>
      <c r="C531">
        <v>2024</v>
      </c>
      <c r="D531" t="s">
        <v>60</v>
      </c>
      <c r="E531" t="s">
        <v>52</v>
      </c>
      <c r="F531" t="s">
        <v>29</v>
      </c>
      <c r="G531">
        <v>32</v>
      </c>
      <c r="H531" t="s">
        <v>36</v>
      </c>
      <c r="I531" t="s">
        <v>23</v>
      </c>
      <c r="J531" s="2">
        <v>499</v>
      </c>
      <c r="K531" t="s">
        <v>57</v>
      </c>
      <c r="L531">
        <v>36</v>
      </c>
      <c r="M531" t="s">
        <v>31</v>
      </c>
      <c r="N531" t="s">
        <v>32</v>
      </c>
      <c r="O531">
        <v>2</v>
      </c>
      <c r="P531" t="s">
        <v>27</v>
      </c>
      <c r="Q531">
        <v>5</v>
      </c>
      <c r="R531" s="2">
        <v>499</v>
      </c>
      <c r="S531" t="str">
        <f t="shared" si="16"/>
        <v>Young Professionals</v>
      </c>
      <c r="T531" t="str">
        <f t="shared" si="17"/>
        <v>Engaged Viewer</v>
      </c>
    </row>
    <row r="532" spans="1:20" x14ac:dyDescent="0.3">
      <c r="A532" t="s">
        <v>591</v>
      </c>
      <c r="B532" s="1">
        <v>45483</v>
      </c>
      <c r="C532">
        <v>2024</v>
      </c>
      <c r="D532" t="s">
        <v>85</v>
      </c>
      <c r="E532" t="s">
        <v>20</v>
      </c>
      <c r="F532" t="s">
        <v>63</v>
      </c>
      <c r="G532">
        <v>28</v>
      </c>
      <c r="H532" t="s">
        <v>22</v>
      </c>
      <c r="I532" t="s">
        <v>23</v>
      </c>
      <c r="J532" s="2">
        <v>499</v>
      </c>
      <c r="K532" t="s">
        <v>67</v>
      </c>
      <c r="L532">
        <v>38</v>
      </c>
      <c r="M532" t="s">
        <v>45</v>
      </c>
      <c r="N532" t="s">
        <v>55</v>
      </c>
      <c r="O532">
        <v>9</v>
      </c>
      <c r="P532" t="s">
        <v>27</v>
      </c>
      <c r="Q532">
        <v>5</v>
      </c>
      <c r="R532" s="2">
        <v>499</v>
      </c>
      <c r="S532" t="str">
        <f t="shared" si="16"/>
        <v>Young Professionals</v>
      </c>
      <c r="T532" t="str">
        <f t="shared" si="17"/>
        <v>Engaged Viewer</v>
      </c>
    </row>
    <row r="533" spans="1:20" x14ac:dyDescent="0.3">
      <c r="A533" t="s">
        <v>592</v>
      </c>
      <c r="B533" s="1">
        <v>45516</v>
      </c>
      <c r="C533">
        <v>2024</v>
      </c>
      <c r="D533" t="s">
        <v>34</v>
      </c>
      <c r="E533" t="s">
        <v>35</v>
      </c>
      <c r="F533" t="s">
        <v>29</v>
      </c>
      <c r="G533">
        <v>27</v>
      </c>
      <c r="H533" t="s">
        <v>36</v>
      </c>
      <c r="I533" t="s">
        <v>23</v>
      </c>
      <c r="J533" s="2">
        <v>499</v>
      </c>
      <c r="K533" t="s">
        <v>49</v>
      </c>
      <c r="L533">
        <v>34</v>
      </c>
      <c r="M533" t="s">
        <v>25</v>
      </c>
      <c r="N533" t="s">
        <v>58</v>
      </c>
      <c r="O533">
        <v>36</v>
      </c>
      <c r="P533" t="s">
        <v>27</v>
      </c>
      <c r="Q533">
        <v>5</v>
      </c>
      <c r="R533" s="2">
        <v>499</v>
      </c>
      <c r="S533" t="str">
        <f t="shared" si="16"/>
        <v>Young Professionals</v>
      </c>
      <c r="T533" t="str">
        <f t="shared" si="17"/>
        <v>Regular Viewer</v>
      </c>
    </row>
    <row r="534" spans="1:20" x14ac:dyDescent="0.3">
      <c r="A534" t="s">
        <v>593</v>
      </c>
      <c r="B534" s="1">
        <v>45104</v>
      </c>
      <c r="C534">
        <v>2023</v>
      </c>
      <c r="D534" t="s">
        <v>69</v>
      </c>
      <c r="E534" t="s">
        <v>20</v>
      </c>
      <c r="F534" t="s">
        <v>29</v>
      </c>
      <c r="G534">
        <v>49</v>
      </c>
      <c r="H534" t="s">
        <v>36</v>
      </c>
      <c r="I534" t="s">
        <v>37</v>
      </c>
      <c r="J534" s="2">
        <v>199</v>
      </c>
      <c r="K534" t="s">
        <v>44</v>
      </c>
      <c r="L534">
        <v>44</v>
      </c>
      <c r="M534" t="s">
        <v>31</v>
      </c>
      <c r="N534" t="s">
        <v>32</v>
      </c>
      <c r="O534">
        <v>39</v>
      </c>
      <c r="P534" t="s">
        <v>73</v>
      </c>
      <c r="Q534">
        <v>3</v>
      </c>
      <c r="R534" s="2">
        <v>0</v>
      </c>
      <c r="S534" t="str">
        <f t="shared" si="16"/>
        <v>Mature viewer</v>
      </c>
      <c r="T534" t="str">
        <f t="shared" si="17"/>
        <v>Engaged Viewer</v>
      </c>
    </row>
    <row r="535" spans="1:20" x14ac:dyDescent="0.3">
      <c r="A535" t="s">
        <v>594</v>
      </c>
      <c r="B535" s="1">
        <v>44641</v>
      </c>
      <c r="C535">
        <v>2022</v>
      </c>
      <c r="D535" t="s">
        <v>66</v>
      </c>
      <c r="E535" t="s">
        <v>52</v>
      </c>
      <c r="F535" t="s">
        <v>63</v>
      </c>
      <c r="G535">
        <v>19</v>
      </c>
      <c r="H535" t="s">
        <v>22</v>
      </c>
      <c r="I535" t="s">
        <v>23</v>
      </c>
      <c r="J535" s="2">
        <v>499</v>
      </c>
      <c r="K535" t="s">
        <v>30</v>
      </c>
      <c r="L535">
        <v>27</v>
      </c>
      <c r="M535" t="s">
        <v>41</v>
      </c>
      <c r="N535" t="s">
        <v>55</v>
      </c>
      <c r="O535">
        <v>24</v>
      </c>
      <c r="P535" t="s">
        <v>27</v>
      </c>
      <c r="Q535">
        <v>5</v>
      </c>
      <c r="R535" s="2">
        <v>499</v>
      </c>
      <c r="S535" t="str">
        <f t="shared" si="16"/>
        <v>Genz viewer</v>
      </c>
      <c r="T535" t="str">
        <f t="shared" si="17"/>
        <v>Regular Viewer</v>
      </c>
    </row>
    <row r="536" spans="1:20" x14ac:dyDescent="0.3">
      <c r="A536" t="s">
        <v>595</v>
      </c>
      <c r="B536" s="1">
        <v>45649</v>
      </c>
      <c r="C536">
        <v>2024</v>
      </c>
      <c r="D536" t="s">
        <v>39</v>
      </c>
      <c r="E536" t="s">
        <v>35</v>
      </c>
      <c r="F536" t="s">
        <v>29</v>
      </c>
      <c r="G536">
        <v>33</v>
      </c>
      <c r="H536" t="s">
        <v>22</v>
      </c>
      <c r="I536" t="s">
        <v>48</v>
      </c>
      <c r="J536" s="2">
        <v>649</v>
      </c>
      <c r="K536" t="s">
        <v>30</v>
      </c>
      <c r="L536">
        <v>26</v>
      </c>
      <c r="M536" t="s">
        <v>45</v>
      </c>
      <c r="N536" t="s">
        <v>55</v>
      </c>
      <c r="O536">
        <v>41</v>
      </c>
      <c r="P536" t="s">
        <v>27</v>
      </c>
      <c r="Q536">
        <v>4</v>
      </c>
      <c r="R536" s="2">
        <v>649</v>
      </c>
      <c r="S536" t="str">
        <f t="shared" si="16"/>
        <v>Young Professionals</v>
      </c>
      <c r="T536" t="str">
        <f t="shared" si="17"/>
        <v>Regular Viewer</v>
      </c>
    </row>
    <row r="537" spans="1:20" x14ac:dyDescent="0.3">
      <c r="A537" t="s">
        <v>596</v>
      </c>
      <c r="B537" s="1">
        <v>44744</v>
      </c>
      <c r="C537">
        <v>2022</v>
      </c>
      <c r="D537" t="s">
        <v>85</v>
      </c>
      <c r="E537" t="s">
        <v>20</v>
      </c>
      <c r="F537" t="s">
        <v>21</v>
      </c>
      <c r="G537">
        <v>21</v>
      </c>
      <c r="H537" t="s">
        <v>22</v>
      </c>
      <c r="I537" t="s">
        <v>37</v>
      </c>
      <c r="J537" s="2">
        <v>199</v>
      </c>
      <c r="K537" t="s">
        <v>53</v>
      </c>
      <c r="L537">
        <v>45</v>
      </c>
      <c r="M537" t="s">
        <v>45</v>
      </c>
      <c r="N537" t="s">
        <v>55</v>
      </c>
      <c r="O537">
        <v>43</v>
      </c>
      <c r="P537" t="s">
        <v>27</v>
      </c>
      <c r="Q537">
        <v>3</v>
      </c>
      <c r="R537" s="2">
        <v>199</v>
      </c>
      <c r="S537" t="str">
        <f t="shared" si="16"/>
        <v>Genz viewer</v>
      </c>
      <c r="T537" t="str">
        <f t="shared" si="17"/>
        <v>Engaged Viewer</v>
      </c>
    </row>
    <row r="538" spans="1:20" x14ac:dyDescent="0.3">
      <c r="A538" t="s">
        <v>597</v>
      </c>
      <c r="B538" s="1">
        <v>44922</v>
      </c>
      <c r="C538">
        <v>2022</v>
      </c>
      <c r="D538" t="s">
        <v>39</v>
      </c>
      <c r="E538" t="s">
        <v>43</v>
      </c>
      <c r="F538" t="s">
        <v>29</v>
      </c>
      <c r="G538">
        <v>25</v>
      </c>
      <c r="H538" t="s">
        <v>22</v>
      </c>
      <c r="I538" t="s">
        <v>23</v>
      </c>
      <c r="J538" s="2">
        <v>499</v>
      </c>
      <c r="K538" t="s">
        <v>30</v>
      </c>
      <c r="L538">
        <v>28</v>
      </c>
      <c r="M538" t="s">
        <v>41</v>
      </c>
      <c r="N538" t="s">
        <v>26</v>
      </c>
      <c r="O538">
        <v>41</v>
      </c>
      <c r="P538" t="s">
        <v>27</v>
      </c>
      <c r="Q538">
        <v>5</v>
      </c>
      <c r="R538" s="2">
        <v>499</v>
      </c>
      <c r="S538" t="str">
        <f t="shared" si="16"/>
        <v>Young Professionals</v>
      </c>
      <c r="T538" t="str">
        <f t="shared" si="17"/>
        <v>Regular Viewer</v>
      </c>
    </row>
    <row r="539" spans="1:20" x14ac:dyDescent="0.3">
      <c r="A539" t="s">
        <v>598</v>
      </c>
      <c r="B539" s="1">
        <v>45376</v>
      </c>
      <c r="C539">
        <v>2024</v>
      </c>
      <c r="D539" t="s">
        <v>66</v>
      </c>
      <c r="E539" t="s">
        <v>20</v>
      </c>
      <c r="F539" t="s">
        <v>63</v>
      </c>
      <c r="G539">
        <v>34</v>
      </c>
      <c r="H539" t="s">
        <v>22</v>
      </c>
      <c r="I539" t="s">
        <v>37</v>
      </c>
      <c r="J539" s="2">
        <v>199</v>
      </c>
      <c r="K539" t="s">
        <v>75</v>
      </c>
      <c r="L539">
        <v>47</v>
      </c>
      <c r="M539" t="s">
        <v>45</v>
      </c>
      <c r="N539" t="s">
        <v>26</v>
      </c>
      <c r="O539">
        <v>12</v>
      </c>
      <c r="P539" t="s">
        <v>27</v>
      </c>
      <c r="Q539">
        <v>5</v>
      </c>
      <c r="R539" s="2">
        <v>199</v>
      </c>
      <c r="S539" t="str">
        <f t="shared" si="16"/>
        <v>Young Professionals</v>
      </c>
      <c r="T539" t="str">
        <f t="shared" si="17"/>
        <v>Engaged Viewer</v>
      </c>
    </row>
    <row r="540" spans="1:20" x14ac:dyDescent="0.3">
      <c r="A540" t="s">
        <v>599</v>
      </c>
      <c r="B540" s="1">
        <v>45744</v>
      </c>
      <c r="C540">
        <v>2025</v>
      </c>
      <c r="D540" t="s">
        <v>66</v>
      </c>
      <c r="E540" t="s">
        <v>20</v>
      </c>
      <c r="F540" t="s">
        <v>29</v>
      </c>
      <c r="G540">
        <v>41</v>
      </c>
      <c r="H540" t="s">
        <v>36</v>
      </c>
      <c r="I540" t="s">
        <v>37</v>
      </c>
      <c r="J540" s="2">
        <v>199</v>
      </c>
      <c r="K540" t="s">
        <v>44</v>
      </c>
      <c r="L540">
        <v>44</v>
      </c>
      <c r="M540" t="s">
        <v>31</v>
      </c>
      <c r="N540" t="s">
        <v>55</v>
      </c>
      <c r="O540">
        <v>13</v>
      </c>
      <c r="P540" t="s">
        <v>27</v>
      </c>
      <c r="Q540">
        <v>3</v>
      </c>
      <c r="R540" s="2">
        <v>199</v>
      </c>
      <c r="S540" t="str">
        <f t="shared" si="16"/>
        <v>mid career adult</v>
      </c>
      <c r="T540" t="str">
        <f t="shared" si="17"/>
        <v>Engaged Viewer</v>
      </c>
    </row>
    <row r="541" spans="1:20" x14ac:dyDescent="0.3">
      <c r="A541" t="s">
        <v>600</v>
      </c>
      <c r="B541" s="1">
        <v>45249</v>
      </c>
      <c r="C541">
        <v>2023</v>
      </c>
      <c r="D541" t="s">
        <v>19</v>
      </c>
      <c r="E541" t="s">
        <v>43</v>
      </c>
      <c r="F541" t="s">
        <v>63</v>
      </c>
      <c r="G541">
        <v>40</v>
      </c>
      <c r="H541" t="s">
        <v>36</v>
      </c>
      <c r="I541" t="s">
        <v>37</v>
      </c>
      <c r="J541" s="2">
        <v>199</v>
      </c>
      <c r="K541" t="s">
        <v>67</v>
      </c>
      <c r="L541">
        <v>59</v>
      </c>
      <c r="M541" t="s">
        <v>41</v>
      </c>
      <c r="N541" t="s">
        <v>55</v>
      </c>
      <c r="O541">
        <v>35</v>
      </c>
      <c r="P541" t="s">
        <v>27</v>
      </c>
      <c r="Q541">
        <v>4</v>
      </c>
      <c r="R541" s="2">
        <v>199</v>
      </c>
      <c r="S541" t="str">
        <f t="shared" si="16"/>
        <v>mid career adult</v>
      </c>
      <c r="T541" t="str">
        <f t="shared" si="17"/>
        <v>Binge watcher</v>
      </c>
    </row>
    <row r="542" spans="1:20" x14ac:dyDescent="0.3">
      <c r="A542" t="s">
        <v>601</v>
      </c>
      <c r="B542" s="1">
        <v>45578</v>
      </c>
      <c r="C542">
        <v>2024</v>
      </c>
      <c r="D542" t="s">
        <v>47</v>
      </c>
      <c r="E542" t="s">
        <v>43</v>
      </c>
      <c r="F542" t="s">
        <v>29</v>
      </c>
      <c r="G542">
        <v>24</v>
      </c>
      <c r="H542" t="s">
        <v>22</v>
      </c>
      <c r="I542" t="s">
        <v>37</v>
      </c>
      <c r="J542" s="2">
        <v>199</v>
      </c>
      <c r="K542" t="s">
        <v>49</v>
      </c>
      <c r="L542">
        <v>55</v>
      </c>
      <c r="M542" t="s">
        <v>25</v>
      </c>
      <c r="N542" t="s">
        <v>32</v>
      </c>
      <c r="O542">
        <v>13</v>
      </c>
      <c r="P542" t="s">
        <v>27</v>
      </c>
      <c r="Q542">
        <v>4</v>
      </c>
      <c r="R542" s="2">
        <v>199</v>
      </c>
      <c r="S542" t="str">
        <f t="shared" si="16"/>
        <v>Genz viewer</v>
      </c>
      <c r="T542" t="str">
        <f t="shared" si="17"/>
        <v>Binge watcher</v>
      </c>
    </row>
    <row r="543" spans="1:20" x14ac:dyDescent="0.3">
      <c r="A543" t="s">
        <v>602</v>
      </c>
      <c r="B543" s="1">
        <v>45434</v>
      </c>
      <c r="C543">
        <v>2024</v>
      </c>
      <c r="D543" t="s">
        <v>79</v>
      </c>
      <c r="E543" t="s">
        <v>43</v>
      </c>
      <c r="F543" t="s">
        <v>63</v>
      </c>
      <c r="G543">
        <v>20</v>
      </c>
      <c r="H543" t="s">
        <v>22</v>
      </c>
      <c r="I543" t="s">
        <v>23</v>
      </c>
      <c r="J543" s="2">
        <v>499</v>
      </c>
      <c r="K543" t="s">
        <v>67</v>
      </c>
      <c r="L543">
        <v>59</v>
      </c>
      <c r="M543" t="s">
        <v>45</v>
      </c>
      <c r="N543" t="s">
        <v>32</v>
      </c>
      <c r="O543">
        <v>23</v>
      </c>
      <c r="P543" t="s">
        <v>27</v>
      </c>
      <c r="Q543">
        <v>3</v>
      </c>
      <c r="R543" s="2">
        <v>499</v>
      </c>
      <c r="S543" t="str">
        <f t="shared" si="16"/>
        <v>Genz viewer</v>
      </c>
      <c r="T543" t="str">
        <f t="shared" si="17"/>
        <v>Binge watcher</v>
      </c>
    </row>
    <row r="544" spans="1:20" x14ac:dyDescent="0.3">
      <c r="A544" t="s">
        <v>603</v>
      </c>
      <c r="B544" s="1">
        <v>45090</v>
      </c>
      <c r="C544">
        <v>2023</v>
      </c>
      <c r="D544" t="s">
        <v>69</v>
      </c>
      <c r="E544" t="s">
        <v>43</v>
      </c>
      <c r="F544" t="s">
        <v>29</v>
      </c>
      <c r="G544">
        <v>51</v>
      </c>
      <c r="H544" t="s">
        <v>22</v>
      </c>
      <c r="I544" t="s">
        <v>23</v>
      </c>
      <c r="J544" s="2">
        <v>499</v>
      </c>
      <c r="K544" t="s">
        <v>57</v>
      </c>
      <c r="L544">
        <v>39</v>
      </c>
      <c r="M544" t="s">
        <v>31</v>
      </c>
      <c r="N544" t="s">
        <v>26</v>
      </c>
      <c r="O544">
        <v>36</v>
      </c>
      <c r="P544" t="s">
        <v>27</v>
      </c>
      <c r="Q544">
        <v>5</v>
      </c>
      <c r="R544" s="2">
        <v>499</v>
      </c>
      <c r="S544" t="str">
        <f t="shared" si="16"/>
        <v>Mature viewer</v>
      </c>
      <c r="T544" t="str">
        <f t="shared" si="17"/>
        <v>Engaged Viewer</v>
      </c>
    </row>
    <row r="545" spans="1:20" x14ac:dyDescent="0.3">
      <c r="A545" t="s">
        <v>604</v>
      </c>
      <c r="B545" s="1">
        <v>45330</v>
      </c>
      <c r="C545">
        <v>2024</v>
      </c>
      <c r="D545" t="s">
        <v>111</v>
      </c>
      <c r="E545" t="s">
        <v>20</v>
      </c>
      <c r="F545" t="s">
        <v>63</v>
      </c>
      <c r="G545">
        <v>37</v>
      </c>
      <c r="H545" t="s">
        <v>22</v>
      </c>
      <c r="I545" t="s">
        <v>23</v>
      </c>
      <c r="J545" s="2">
        <v>499</v>
      </c>
      <c r="K545" t="s">
        <v>53</v>
      </c>
      <c r="L545">
        <v>27</v>
      </c>
      <c r="M545" t="s">
        <v>31</v>
      </c>
      <c r="N545" t="s">
        <v>58</v>
      </c>
      <c r="O545">
        <v>21</v>
      </c>
      <c r="P545" t="s">
        <v>27</v>
      </c>
      <c r="Q545">
        <v>3</v>
      </c>
      <c r="R545" s="2">
        <v>499</v>
      </c>
      <c r="S545" t="str">
        <f t="shared" si="16"/>
        <v>mid career adult</v>
      </c>
      <c r="T545" t="str">
        <f t="shared" si="17"/>
        <v>Regular Viewer</v>
      </c>
    </row>
    <row r="546" spans="1:20" x14ac:dyDescent="0.3">
      <c r="A546" t="s">
        <v>605</v>
      </c>
      <c r="B546" s="1">
        <v>44781</v>
      </c>
      <c r="C546">
        <v>2022</v>
      </c>
      <c r="D546" t="s">
        <v>34</v>
      </c>
      <c r="E546" t="s">
        <v>52</v>
      </c>
      <c r="F546" t="s">
        <v>63</v>
      </c>
      <c r="G546">
        <v>25</v>
      </c>
      <c r="H546" t="s">
        <v>22</v>
      </c>
      <c r="I546" t="s">
        <v>37</v>
      </c>
      <c r="J546" s="2">
        <v>199</v>
      </c>
      <c r="K546" t="s">
        <v>24</v>
      </c>
      <c r="L546">
        <v>43</v>
      </c>
      <c r="M546" t="s">
        <v>45</v>
      </c>
      <c r="N546" t="s">
        <v>55</v>
      </c>
      <c r="O546">
        <v>9</v>
      </c>
      <c r="P546" t="s">
        <v>27</v>
      </c>
      <c r="Q546">
        <v>4</v>
      </c>
      <c r="R546" s="2">
        <v>199</v>
      </c>
      <c r="S546" t="str">
        <f t="shared" si="16"/>
        <v>Young Professionals</v>
      </c>
      <c r="T546" t="str">
        <f t="shared" si="17"/>
        <v>Engaged Viewer</v>
      </c>
    </row>
    <row r="547" spans="1:20" x14ac:dyDescent="0.3">
      <c r="A547" t="s">
        <v>606</v>
      </c>
      <c r="B547" s="1">
        <v>45173</v>
      </c>
      <c r="C547">
        <v>2023</v>
      </c>
      <c r="D547" t="s">
        <v>60</v>
      </c>
      <c r="E547" t="s">
        <v>20</v>
      </c>
      <c r="F547" t="s">
        <v>29</v>
      </c>
      <c r="G547">
        <v>54</v>
      </c>
      <c r="H547" t="s">
        <v>36</v>
      </c>
      <c r="I547" t="s">
        <v>23</v>
      </c>
      <c r="J547" s="2">
        <v>499</v>
      </c>
      <c r="K547" t="s">
        <v>44</v>
      </c>
      <c r="L547">
        <v>51</v>
      </c>
      <c r="M547" t="s">
        <v>31</v>
      </c>
      <c r="N547" t="s">
        <v>55</v>
      </c>
      <c r="O547">
        <v>4</v>
      </c>
      <c r="P547" t="s">
        <v>73</v>
      </c>
      <c r="Q547">
        <v>5</v>
      </c>
      <c r="R547" s="2">
        <v>0</v>
      </c>
      <c r="S547" t="str">
        <f t="shared" si="16"/>
        <v>Mature viewer</v>
      </c>
      <c r="T547" t="str">
        <f t="shared" si="17"/>
        <v>Binge watcher</v>
      </c>
    </row>
    <row r="548" spans="1:20" x14ac:dyDescent="0.3">
      <c r="A548" t="s">
        <v>607</v>
      </c>
      <c r="B548" s="1">
        <v>45443</v>
      </c>
      <c r="C548">
        <v>2024</v>
      </c>
      <c r="D548" t="s">
        <v>79</v>
      </c>
      <c r="E548" t="s">
        <v>43</v>
      </c>
      <c r="F548" t="s">
        <v>63</v>
      </c>
      <c r="G548">
        <v>48</v>
      </c>
      <c r="H548" t="s">
        <v>36</v>
      </c>
      <c r="I548" t="s">
        <v>37</v>
      </c>
      <c r="J548" s="2">
        <v>199</v>
      </c>
      <c r="K548" t="s">
        <v>57</v>
      </c>
      <c r="L548">
        <v>29</v>
      </c>
      <c r="M548" t="s">
        <v>31</v>
      </c>
      <c r="N548" t="s">
        <v>32</v>
      </c>
      <c r="O548">
        <v>16</v>
      </c>
      <c r="P548" t="s">
        <v>27</v>
      </c>
      <c r="Q548">
        <v>5</v>
      </c>
      <c r="R548" s="2">
        <v>199</v>
      </c>
      <c r="S548" t="str">
        <f t="shared" si="16"/>
        <v>Mature viewer</v>
      </c>
      <c r="T548" t="str">
        <f t="shared" si="17"/>
        <v>Regular Viewer</v>
      </c>
    </row>
    <row r="549" spans="1:20" x14ac:dyDescent="0.3">
      <c r="A549" t="s">
        <v>608</v>
      </c>
      <c r="B549" s="1">
        <v>44871</v>
      </c>
      <c r="C549">
        <v>2022</v>
      </c>
      <c r="D549" t="s">
        <v>19</v>
      </c>
      <c r="E549" t="s">
        <v>35</v>
      </c>
      <c r="F549" t="s">
        <v>63</v>
      </c>
      <c r="G549">
        <v>44</v>
      </c>
      <c r="H549" t="s">
        <v>36</v>
      </c>
      <c r="I549" t="s">
        <v>23</v>
      </c>
      <c r="J549" s="2">
        <v>499</v>
      </c>
      <c r="K549" t="s">
        <v>24</v>
      </c>
      <c r="L549">
        <v>49</v>
      </c>
      <c r="M549" t="s">
        <v>45</v>
      </c>
      <c r="N549" t="s">
        <v>55</v>
      </c>
      <c r="O549">
        <v>46</v>
      </c>
      <c r="P549" t="s">
        <v>27</v>
      </c>
      <c r="Q549">
        <v>3</v>
      </c>
      <c r="R549" s="2">
        <v>499</v>
      </c>
      <c r="S549" t="str">
        <f t="shared" si="16"/>
        <v>mid career adult</v>
      </c>
      <c r="T549" t="str">
        <f t="shared" si="17"/>
        <v>Engaged Viewer</v>
      </c>
    </row>
    <row r="550" spans="1:20" x14ac:dyDescent="0.3">
      <c r="A550" t="s">
        <v>609</v>
      </c>
      <c r="B550" s="1">
        <v>45993</v>
      </c>
      <c r="C550">
        <v>2025</v>
      </c>
      <c r="D550" t="s">
        <v>39</v>
      </c>
      <c r="E550" t="s">
        <v>35</v>
      </c>
      <c r="F550" t="s">
        <v>63</v>
      </c>
      <c r="G550">
        <v>29</v>
      </c>
      <c r="H550" t="s">
        <v>36</v>
      </c>
      <c r="I550" t="s">
        <v>23</v>
      </c>
      <c r="J550" s="2">
        <v>499</v>
      </c>
      <c r="K550" t="s">
        <v>53</v>
      </c>
      <c r="L550">
        <v>43</v>
      </c>
      <c r="M550" t="s">
        <v>45</v>
      </c>
      <c r="N550" t="s">
        <v>32</v>
      </c>
      <c r="O550">
        <v>33</v>
      </c>
      <c r="P550" t="s">
        <v>27</v>
      </c>
      <c r="Q550">
        <v>3</v>
      </c>
      <c r="R550" s="2">
        <v>499</v>
      </c>
      <c r="S550" t="str">
        <f t="shared" si="16"/>
        <v>Young Professionals</v>
      </c>
      <c r="T550" t="str">
        <f t="shared" si="17"/>
        <v>Engaged Viewer</v>
      </c>
    </row>
    <row r="551" spans="1:20" x14ac:dyDescent="0.3">
      <c r="A551" t="s">
        <v>610</v>
      </c>
      <c r="B551" s="1">
        <v>45968</v>
      </c>
      <c r="C551">
        <v>2025</v>
      </c>
      <c r="D551" t="s">
        <v>19</v>
      </c>
      <c r="E551" t="s">
        <v>20</v>
      </c>
      <c r="F551" t="s">
        <v>21</v>
      </c>
      <c r="G551">
        <v>42</v>
      </c>
      <c r="H551" t="s">
        <v>22</v>
      </c>
      <c r="I551" t="s">
        <v>37</v>
      </c>
      <c r="J551" s="2">
        <v>199</v>
      </c>
      <c r="K551" t="s">
        <v>30</v>
      </c>
      <c r="L551">
        <v>56</v>
      </c>
      <c r="M551" t="s">
        <v>31</v>
      </c>
      <c r="N551" t="s">
        <v>55</v>
      </c>
      <c r="O551">
        <v>40</v>
      </c>
      <c r="P551" t="s">
        <v>27</v>
      </c>
      <c r="Q551">
        <v>5</v>
      </c>
      <c r="R551" s="2">
        <v>199</v>
      </c>
      <c r="S551" t="str">
        <f t="shared" si="16"/>
        <v>mid career adult</v>
      </c>
      <c r="T551" t="str">
        <f t="shared" si="17"/>
        <v>Binge watcher</v>
      </c>
    </row>
    <row r="552" spans="1:20" x14ac:dyDescent="0.3">
      <c r="A552" t="s">
        <v>611</v>
      </c>
      <c r="B552" s="1">
        <v>45907</v>
      </c>
      <c r="C552">
        <v>2025</v>
      </c>
      <c r="D552" t="s">
        <v>60</v>
      </c>
      <c r="E552" t="s">
        <v>20</v>
      </c>
      <c r="F552" t="s">
        <v>29</v>
      </c>
      <c r="G552">
        <v>26</v>
      </c>
      <c r="H552" t="s">
        <v>22</v>
      </c>
      <c r="I552" t="s">
        <v>37</v>
      </c>
      <c r="J552" s="2">
        <v>199</v>
      </c>
      <c r="K552" t="s">
        <v>40</v>
      </c>
      <c r="L552">
        <v>44</v>
      </c>
      <c r="M552" t="s">
        <v>31</v>
      </c>
      <c r="N552" t="s">
        <v>26</v>
      </c>
      <c r="O552">
        <v>14</v>
      </c>
      <c r="P552" t="s">
        <v>27</v>
      </c>
      <c r="Q552">
        <v>4</v>
      </c>
      <c r="R552" s="2">
        <v>199</v>
      </c>
      <c r="S552" t="str">
        <f t="shared" si="16"/>
        <v>Young Professionals</v>
      </c>
      <c r="T552" t="str">
        <f t="shared" si="17"/>
        <v>Engaged Viewer</v>
      </c>
    </row>
    <row r="553" spans="1:20" x14ac:dyDescent="0.3">
      <c r="A553" t="s">
        <v>612</v>
      </c>
      <c r="B553" s="1">
        <v>45903</v>
      </c>
      <c r="C553">
        <v>2025</v>
      </c>
      <c r="D553" t="s">
        <v>60</v>
      </c>
      <c r="E553" t="s">
        <v>52</v>
      </c>
      <c r="F553" t="s">
        <v>29</v>
      </c>
      <c r="G553">
        <v>49</v>
      </c>
      <c r="H553" t="s">
        <v>22</v>
      </c>
      <c r="I553" t="s">
        <v>37</v>
      </c>
      <c r="J553" s="2">
        <v>199</v>
      </c>
      <c r="K553" t="s">
        <v>24</v>
      </c>
      <c r="L553">
        <v>45</v>
      </c>
      <c r="M553" t="s">
        <v>25</v>
      </c>
      <c r="N553" t="s">
        <v>32</v>
      </c>
      <c r="O553">
        <v>47</v>
      </c>
      <c r="P553" t="s">
        <v>27</v>
      </c>
      <c r="Q553">
        <v>4</v>
      </c>
      <c r="R553" s="2">
        <v>199</v>
      </c>
      <c r="S553" t="str">
        <f t="shared" si="16"/>
        <v>Mature viewer</v>
      </c>
      <c r="T553" t="str">
        <f t="shared" si="17"/>
        <v>Engaged Viewer</v>
      </c>
    </row>
    <row r="554" spans="1:20" x14ac:dyDescent="0.3">
      <c r="A554" t="s">
        <v>613</v>
      </c>
      <c r="B554" s="1">
        <v>46000</v>
      </c>
      <c r="C554">
        <v>2025</v>
      </c>
      <c r="D554" t="s">
        <v>39</v>
      </c>
      <c r="E554" t="s">
        <v>35</v>
      </c>
      <c r="F554" t="s">
        <v>21</v>
      </c>
      <c r="G554">
        <v>44</v>
      </c>
      <c r="H554" t="s">
        <v>22</v>
      </c>
      <c r="I554" t="s">
        <v>48</v>
      </c>
      <c r="J554" s="2">
        <v>649</v>
      </c>
      <c r="K554" t="s">
        <v>75</v>
      </c>
      <c r="L554">
        <v>35</v>
      </c>
      <c r="M554" t="s">
        <v>41</v>
      </c>
      <c r="N554" t="s">
        <v>55</v>
      </c>
      <c r="O554">
        <v>45</v>
      </c>
      <c r="P554" t="s">
        <v>27</v>
      </c>
      <c r="Q554">
        <v>4</v>
      </c>
      <c r="R554" s="2">
        <v>649</v>
      </c>
      <c r="S554" t="str">
        <f t="shared" si="16"/>
        <v>mid career adult</v>
      </c>
      <c r="T554" t="str">
        <f t="shared" si="17"/>
        <v>Regular Viewer</v>
      </c>
    </row>
    <row r="555" spans="1:20" x14ac:dyDescent="0.3">
      <c r="A555" t="s">
        <v>614</v>
      </c>
      <c r="B555" s="1">
        <v>44924</v>
      </c>
      <c r="C555">
        <v>2022</v>
      </c>
      <c r="D555" t="s">
        <v>39</v>
      </c>
      <c r="E555" t="s">
        <v>20</v>
      </c>
      <c r="F555" t="s">
        <v>29</v>
      </c>
      <c r="G555">
        <v>47</v>
      </c>
      <c r="H555" t="s">
        <v>22</v>
      </c>
      <c r="I555" t="s">
        <v>48</v>
      </c>
      <c r="J555" s="2">
        <v>649</v>
      </c>
      <c r="K555" t="s">
        <v>40</v>
      </c>
      <c r="L555">
        <v>42</v>
      </c>
      <c r="M555" t="s">
        <v>31</v>
      </c>
      <c r="N555" t="s">
        <v>58</v>
      </c>
      <c r="O555">
        <v>11</v>
      </c>
      <c r="P555" t="s">
        <v>27</v>
      </c>
      <c r="Q555">
        <v>5</v>
      </c>
      <c r="R555" s="2">
        <v>649</v>
      </c>
      <c r="S555" t="str">
        <f t="shared" si="16"/>
        <v>Mature viewer</v>
      </c>
      <c r="T555" t="str">
        <f t="shared" si="17"/>
        <v>Engaged Viewer</v>
      </c>
    </row>
    <row r="556" spans="1:20" x14ac:dyDescent="0.3">
      <c r="A556" t="s">
        <v>615</v>
      </c>
      <c r="B556" s="1">
        <v>44749</v>
      </c>
      <c r="C556">
        <v>2022</v>
      </c>
      <c r="D556" t="s">
        <v>85</v>
      </c>
      <c r="E556" t="s">
        <v>35</v>
      </c>
      <c r="F556" t="s">
        <v>21</v>
      </c>
      <c r="G556">
        <v>21</v>
      </c>
      <c r="H556" t="s">
        <v>36</v>
      </c>
      <c r="I556" t="s">
        <v>48</v>
      </c>
      <c r="J556" s="2">
        <v>649</v>
      </c>
      <c r="K556" t="s">
        <v>67</v>
      </c>
      <c r="L556">
        <v>40</v>
      </c>
      <c r="M556" t="s">
        <v>45</v>
      </c>
      <c r="N556" t="s">
        <v>32</v>
      </c>
      <c r="O556">
        <v>31</v>
      </c>
      <c r="P556" t="s">
        <v>27</v>
      </c>
      <c r="Q556">
        <v>4</v>
      </c>
      <c r="R556" s="2">
        <v>649</v>
      </c>
      <c r="S556" t="str">
        <f t="shared" si="16"/>
        <v>Genz viewer</v>
      </c>
      <c r="T556" t="str">
        <f t="shared" si="17"/>
        <v>Engaged Viewer</v>
      </c>
    </row>
    <row r="557" spans="1:20" x14ac:dyDescent="0.3">
      <c r="A557" t="s">
        <v>616</v>
      </c>
      <c r="B557" s="1">
        <v>45101</v>
      </c>
      <c r="C557">
        <v>2023</v>
      </c>
      <c r="D557" t="s">
        <v>69</v>
      </c>
      <c r="E557" t="s">
        <v>52</v>
      </c>
      <c r="F557" t="s">
        <v>63</v>
      </c>
      <c r="G557">
        <v>19</v>
      </c>
      <c r="H557" t="s">
        <v>22</v>
      </c>
      <c r="I557" t="s">
        <v>23</v>
      </c>
      <c r="J557" s="2">
        <v>499</v>
      </c>
      <c r="K557" t="s">
        <v>30</v>
      </c>
      <c r="L557">
        <v>30</v>
      </c>
      <c r="M557" t="s">
        <v>25</v>
      </c>
      <c r="N557" t="s">
        <v>26</v>
      </c>
      <c r="O557">
        <v>46</v>
      </c>
      <c r="P557" t="s">
        <v>27</v>
      </c>
      <c r="Q557">
        <v>4</v>
      </c>
      <c r="R557" s="2">
        <v>499</v>
      </c>
      <c r="S557" t="str">
        <f t="shared" si="16"/>
        <v>Genz viewer</v>
      </c>
      <c r="T557" t="str">
        <f t="shared" si="17"/>
        <v>Regular Viewer</v>
      </c>
    </row>
    <row r="558" spans="1:20" x14ac:dyDescent="0.3">
      <c r="A558" t="s">
        <v>617</v>
      </c>
      <c r="B558" s="1">
        <v>45911</v>
      </c>
      <c r="C558">
        <v>2025</v>
      </c>
      <c r="D558" t="s">
        <v>60</v>
      </c>
      <c r="E558" t="s">
        <v>43</v>
      </c>
      <c r="F558" t="s">
        <v>63</v>
      </c>
      <c r="G558">
        <v>32</v>
      </c>
      <c r="H558" t="s">
        <v>36</v>
      </c>
      <c r="I558" t="s">
        <v>37</v>
      </c>
      <c r="J558" s="2">
        <v>199</v>
      </c>
      <c r="K558" t="s">
        <v>30</v>
      </c>
      <c r="L558">
        <v>58</v>
      </c>
      <c r="M558" t="s">
        <v>41</v>
      </c>
      <c r="N558" t="s">
        <v>58</v>
      </c>
      <c r="O558">
        <v>40</v>
      </c>
      <c r="P558" t="s">
        <v>27</v>
      </c>
      <c r="Q558">
        <v>3</v>
      </c>
      <c r="R558" s="2">
        <v>199</v>
      </c>
      <c r="S558" t="str">
        <f t="shared" si="16"/>
        <v>Young Professionals</v>
      </c>
      <c r="T558" t="str">
        <f t="shared" si="17"/>
        <v>Binge watcher</v>
      </c>
    </row>
    <row r="559" spans="1:20" x14ac:dyDescent="0.3">
      <c r="A559" t="s">
        <v>618</v>
      </c>
      <c r="B559" s="1">
        <v>44895</v>
      </c>
      <c r="C559">
        <v>2022</v>
      </c>
      <c r="D559" t="s">
        <v>19</v>
      </c>
      <c r="E559" t="s">
        <v>35</v>
      </c>
      <c r="F559" t="s">
        <v>63</v>
      </c>
      <c r="G559">
        <v>30</v>
      </c>
      <c r="H559" t="s">
        <v>36</v>
      </c>
      <c r="I559" t="s">
        <v>37</v>
      </c>
      <c r="J559" s="2">
        <v>199</v>
      </c>
      <c r="K559" t="s">
        <v>49</v>
      </c>
      <c r="L559">
        <v>43</v>
      </c>
      <c r="M559" t="s">
        <v>25</v>
      </c>
      <c r="N559" t="s">
        <v>32</v>
      </c>
      <c r="O559">
        <v>12</v>
      </c>
      <c r="P559" t="s">
        <v>27</v>
      </c>
      <c r="Q559">
        <v>3</v>
      </c>
      <c r="R559" s="2">
        <v>199</v>
      </c>
      <c r="S559" t="str">
        <f t="shared" si="16"/>
        <v>Young Professionals</v>
      </c>
      <c r="T559" t="str">
        <f t="shared" si="17"/>
        <v>Engaged Viewer</v>
      </c>
    </row>
    <row r="560" spans="1:20" x14ac:dyDescent="0.3">
      <c r="A560" t="s">
        <v>619</v>
      </c>
      <c r="B560" s="1">
        <v>44607</v>
      </c>
      <c r="C560">
        <v>2022</v>
      </c>
      <c r="D560" t="s">
        <v>111</v>
      </c>
      <c r="E560" t="s">
        <v>35</v>
      </c>
      <c r="F560" t="s">
        <v>21</v>
      </c>
      <c r="G560">
        <v>48</v>
      </c>
      <c r="H560" t="s">
        <v>22</v>
      </c>
      <c r="I560" t="s">
        <v>37</v>
      </c>
      <c r="J560" s="2">
        <v>199</v>
      </c>
      <c r="K560" t="s">
        <v>53</v>
      </c>
      <c r="L560">
        <v>27</v>
      </c>
      <c r="M560" t="s">
        <v>41</v>
      </c>
      <c r="N560" t="s">
        <v>32</v>
      </c>
      <c r="O560">
        <v>16</v>
      </c>
      <c r="P560" t="s">
        <v>27</v>
      </c>
      <c r="Q560">
        <v>5</v>
      </c>
      <c r="R560" s="2">
        <v>199</v>
      </c>
      <c r="S560" t="str">
        <f t="shared" si="16"/>
        <v>Mature viewer</v>
      </c>
      <c r="T560" t="str">
        <f t="shared" si="17"/>
        <v>Regular Viewer</v>
      </c>
    </row>
    <row r="561" spans="1:20" x14ac:dyDescent="0.3">
      <c r="A561" t="s">
        <v>620</v>
      </c>
      <c r="B561" s="1">
        <v>45051</v>
      </c>
      <c r="C561">
        <v>2023</v>
      </c>
      <c r="D561" t="s">
        <v>79</v>
      </c>
      <c r="E561" t="s">
        <v>20</v>
      </c>
      <c r="F561" t="s">
        <v>21</v>
      </c>
      <c r="G561">
        <v>47</v>
      </c>
      <c r="H561" t="s">
        <v>36</v>
      </c>
      <c r="I561" t="s">
        <v>48</v>
      </c>
      <c r="J561" s="2">
        <v>649</v>
      </c>
      <c r="K561" t="s">
        <v>44</v>
      </c>
      <c r="L561">
        <v>29</v>
      </c>
      <c r="M561" t="s">
        <v>45</v>
      </c>
      <c r="N561" t="s">
        <v>26</v>
      </c>
      <c r="O561">
        <v>44</v>
      </c>
      <c r="P561" t="s">
        <v>27</v>
      </c>
      <c r="Q561">
        <v>3</v>
      </c>
      <c r="R561" s="2">
        <v>649</v>
      </c>
      <c r="S561" t="str">
        <f t="shared" si="16"/>
        <v>Mature viewer</v>
      </c>
      <c r="T561" t="str">
        <f t="shared" si="17"/>
        <v>Regular Viewer</v>
      </c>
    </row>
    <row r="562" spans="1:20" x14ac:dyDescent="0.3">
      <c r="A562" t="s">
        <v>621</v>
      </c>
      <c r="B562" s="1">
        <v>45073</v>
      </c>
      <c r="C562">
        <v>2023</v>
      </c>
      <c r="D562" t="s">
        <v>79</v>
      </c>
      <c r="E562" t="s">
        <v>20</v>
      </c>
      <c r="F562" t="s">
        <v>63</v>
      </c>
      <c r="G562">
        <v>23</v>
      </c>
      <c r="H562" t="s">
        <v>22</v>
      </c>
      <c r="I562" t="s">
        <v>37</v>
      </c>
      <c r="J562" s="2">
        <v>199</v>
      </c>
      <c r="K562" t="s">
        <v>49</v>
      </c>
      <c r="L562">
        <v>50</v>
      </c>
      <c r="M562" t="s">
        <v>45</v>
      </c>
      <c r="N562" t="s">
        <v>58</v>
      </c>
      <c r="O562">
        <v>31</v>
      </c>
      <c r="P562" t="s">
        <v>27</v>
      </c>
      <c r="Q562">
        <v>5</v>
      </c>
      <c r="R562" s="2">
        <v>199</v>
      </c>
      <c r="S562" t="str">
        <f t="shared" si="16"/>
        <v>Genz viewer</v>
      </c>
      <c r="T562" t="str">
        <f t="shared" si="17"/>
        <v>Engaged Viewer</v>
      </c>
    </row>
    <row r="563" spans="1:20" x14ac:dyDescent="0.3">
      <c r="A563" t="s">
        <v>622</v>
      </c>
      <c r="B563" s="1">
        <v>45043</v>
      </c>
      <c r="C563">
        <v>2023</v>
      </c>
      <c r="D563" t="s">
        <v>51</v>
      </c>
      <c r="E563" t="s">
        <v>43</v>
      </c>
      <c r="F563" t="s">
        <v>63</v>
      </c>
      <c r="G563">
        <v>31</v>
      </c>
      <c r="H563" t="s">
        <v>36</v>
      </c>
      <c r="I563" t="s">
        <v>48</v>
      </c>
      <c r="J563" s="2">
        <v>649</v>
      </c>
      <c r="K563" t="s">
        <v>75</v>
      </c>
      <c r="L563">
        <v>35</v>
      </c>
      <c r="M563" t="s">
        <v>31</v>
      </c>
      <c r="N563" t="s">
        <v>26</v>
      </c>
      <c r="O563">
        <v>14</v>
      </c>
      <c r="P563" t="s">
        <v>27</v>
      </c>
      <c r="Q563">
        <v>5</v>
      </c>
      <c r="R563" s="2">
        <v>649</v>
      </c>
      <c r="S563" t="str">
        <f t="shared" si="16"/>
        <v>Young Professionals</v>
      </c>
      <c r="T563" t="str">
        <f t="shared" si="17"/>
        <v>Regular Viewer</v>
      </c>
    </row>
    <row r="564" spans="1:20" x14ac:dyDescent="0.3">
      <c r="A564" t="s">
        <v>623</v>
      </c>
      <c r="B564" s="1">
        <v>45552</v>
      </c>
      <c r="C564">
        <v>2024</v>
      </c>
      <c r="D564" t="s">
        <v>60</v>
      </c>
      <c r="E564" t="s">
        <v>20</v>
      </c>
      <c r="F564" t="s">
        <v>63</v>
      </c>
      <c r="G564">
        <v>24</v>
      </c>
      <c r="H564" t="s">
        <v>22</v>
      </c>
      <c r="I564" t="s">
        <v>48</v>
      </c>
      <c r="J564" s="2">
        <v>649</v>
      </c>
      <c r="K564" t="s">
        <v>44</v>
      </c>
      <c r="L564">
        <v>25</v>
      </c>
      <c r="M564" t="s">
        <v>31</v>
      </c>
      <c r="N564" t="s">
        <v>55</v>
      </c>
      <c r="O564">
        <v>46</v>
      </c>
      <c r="P564" t="s">
        <v>27</v>
      </c>
      <c r="Q564">
        <v>4</v>
      </c>
      <c r="R564" s="2">
        <v>649</v>
      </c>
      <c r="S564" t="str">
        <f t="shared" si="16"/>
        <v>Genz viewer</v>
      </c>
      <c r="T564" t="str">
        <f t="shared" si="17"/>
        <v>Regular Viewer</v>
      </c>
    </row>
    <row r="565" spans="1:20" x14ac:dyDescent="0.3">
      <c r="A565" t="s">
        <v>624</v>
      </c>
      <c r="B565" s="1">
        <v>44850</v>
      </c>
      <c r="C565">
        <v>2022</v>
      </c>
      <c r="D565" t="s">
        <v>47</v>
      </c>
      <c r="E565" t="s">
        <v>20</v>
      </c>
      <c r="F565" t="s">
        <v>63</v>
      </c>
      <c r="G565">
        <v>44</v>
      </c>
      <c r="H565" t="s">
        <v>36</v>
      </c>
      <c r="I565" t="s">
        <v>48</v>
      </c>
      <c r="J565" s="2">
        <v>649</v>
      </c>
      <c r="K565" t="s">
        <v>24</v>
      </c>
      <c r="L565">
        <v>54</v>
      </c>
      <c r="M565" t="s">
        <v>45</v>
      </c>
      <c r="N565" t="s">
        <v>26</v>
      </c>
      <c r="O565">
        <v>24</v>
      </c>
      <c r="P565" t="s">
        <v>27</v>
      </c>
      <c r="Q565">
        <v>4</v>
      </c>
      <c r="R565" s="2">
        <v>649</v>
      </c>
      <c r="S565" t="str">
        <f t="shared" si="16"/>
        <v>mid career adult</v>
      </c>
      <c r="T565" t="str">
        <f t="shared" si="17"/>
        <v>Binge watcher</v>
      </c>
    </row>
    <row r="566" spans="1:20" x14ac:dyDescent="0.3">
      <c r="A566" t="s">
        <v>625</v>
      </c>
      <c r="B566" s="1">
        <v>45902</v>
      </c>
      <c r="C566">
        <v>2025</v>
      </c>
      <c r="D566" t="s">
        <v>60</v>
      </c>
      <c r="E566" t="s">
        <v>35</v>
      </c>
      <c r="F566" t="s">
        <v>21</v>
      </c>
      <c r="G566">
        <v>36</v>
      </c>
      <c r="H566" t="s">
        <v>22</v>
      </c>
      <c r="I566" t="s">
        <v>48</v>
      </c>
      <c r="J566" s="2">
        <v>649</v>
      </c>
      <c r="K566" t="s">
        <v>67</v>
      </c>
      <c r="L566">
        <v>48</v>
      </c>
      <c r="M566" t="s">
        <v>45</v>
      </c>
      <c r="N566" t="s">
        <v>58</v>
      </c>
      <c r="O566">
        <v>37</v>
      </c>
      <c r="P566" t="s">
        <v>27</v>
      </c>
      <c r="Q566">
        <v>3</v>
      </c>
      <c r="R566" s="2">
        <v>649</v>
      </c>
      <c r="S566" t="str">
        <f t="shared" si="16"/>
        <v>mid career adult</v>
      </c>
      <c r="T566" t="str">
        <f t="shared" si="17"/>
        <v>Engaged Viewer</v>
      </c>
    </row>
    <row r="567" spans="1:20" x14ac:dyDescent="0.3">
      <c r="A567" t="s">
        <v>626</v>
      </c>
      <c r="B567" s="1">
        <v>44978</v>
      </c>
      <c r="C567">
        <v>2023</v>
      </c>
      <c r="D567" t="s">
        <v>111</v>
      </c>
      <c r="E567" t="s">
        <v>20</v>
      </c>
      <c r="F567" t="s">
        <v>63</v>
      </c>
      <c r="G567">
        <v>27</v>
      </c>
      <c r="H567" t="s">
        <v>36</v>
      </c>
      <c r="I567" t="s">
        <v>23</v>
      </c>
      <c r="J567" s="2">
        <v>499</v>
      </c>
      <c r="K567" t="s">
        <v>40</v>
      </c>
      <c r="L567">
        <v>44</v>
      </c>
      <c r="M567" t="s">
        <v>41</v>
      </c>
      <c r="N567" t="s">
        <v>26</v>
      </c>
      <c r="O567">
        <v>16</v>
      </c>
      <c r="P567" t="s">
        <v>27</v>
      </c>
      <c r="Q567">
        <v>3</v>
      </c>
      <c r="R567" s="2">
        <v>499</v>
      </c>
      <c r="S567" t="str">
        <f t="shared" si="16"/>
        <v>Young Professionals</v>
      </c>
      <c r="T567" t="str">
        <f t="shared" si="17"/>
        <v>Engaged Viewer</v>
      </c>
    </row>
    <row r="568" spans="1:20" x14ac:dyDescent="0.3">
      <c r="A568" t="s">
        <v>627</v>
      </c>
      <c r="B568" s="1">
        <v>45629</v>
      </c>
      <c r="C568">
        <v>2024</v>
      </c>
      <c r="D568" t="s">
        <v>39</v>
      </c>
      <c r="E568" t="s">
        <v>20</v>
      </c>
      <c r="F568" t="s">
        <v>21</v>
      </c>
      <c r="G568">
        <v>48</v>
      </c>
      <c r="H568" t="s">
        <v>36</v>
      </c>
      <c r="I568" t="s">
        <v>23</v>
      </c>
      <c r="J568" s="2">
        <v>499</v>
      </c>
      <c r="K568" t="s">
        <v>53</v>
      </c>
      <c r="L568">
        <v>26</v>
      </c>
      <c r="M568" t="s">
        <v>45</v>
      </c>
      <c r="N568" t="s">
        <v>32</v>
      </c>
      <c r="O568">
        <v>27</v>
      </c>
      <c r="P568" t="s">
        <v>27</v>
      </c>
      <c r="Q568">
        <v>4</v>
      </c>
      <c r="R568" s="2">
        <v>499</v>
      </c>
      <c r="S568" t="str">
        <f t="shared" si="16"/>
        <v>Mature viewer</v>
      </c>
      <c r="T568" t="str">
        <f t="shared" si="17"/>
        <v>Regular Viewer</v>
      </c>
    </row>
    <row r="569" spans="1:20" x14ac:dyDescent="0.3">
      <c r="A569" t="s">
        <v>628</v>
      </c>
      <c r="B569" s="1">
        <v>44989</v>
      </c>
      <c r="C569">
        <v>2023</v>
      </c>
      <c r="D569" t="s">
        <v>66</v>
      </c>
      <c r="E569" t="s">
        <v>20</v>
      </c>
      <c r="F569" t="s">
        <v>29</v>
      </c>
      <c r="G569">
        <v>45</v>
      </c>
      <c r="H569" t="s">
        <v>22</v>
      </c>
      <c r="I569" t="s">
        <v>37</v>
      </c>
      <c r="J569" s="2">
        <v>199</v>
      </c>
      <c r="K569" t="s">
        <v>67</v>
      </c>
      <c r="L569">
        <v>28</v>
      </c>
      <c r="M569" t="s">
        <v>31</v>
      </c>
      <c r="N569" t="s">
        <v>26</v>
      </c>
      <c r="O569">
        <v>20</v>
      </c>
      <c r="P569" t="s">
        <v>27</v>
      </c>
      <c r="Q569">
        <v>4</v>
      </c>
      <c r="R569" s="2">
        <v>199</v>
      </c>
      <c r="S569" t="str">
        <f t="shared" si="16"/>
        <v>Mature viewer</v>
      </c>
      <c r="T569" t="str">
        <f t="shared" si="17"/>
        <v>Regular Viewer</v>
      </c>
    </row>
    <row r="570" spans="1:20" x14ac:dyDescent="0.3">
      <c r="A570" t="s">
        <v>629</v>
      </c>
      <c r="B570" s="1">
        <v>44567</v>
      </c>
      <c r="C570">
        <v>2022</v>
      </c>
      <c r="D570" t="s">
        <v>62</v>
      </c>
      <c r="E570" t="s">
        <v>43</v>
      </c>
      <c r="F570" t="s">
        <v>29</v>
      </c>
      <c r="G570">
        <v>39</v>
      </c>
      <c r="H570" t="s">
        <v>22</v>
      </c>
      <c r="I570" t="s">
        <v>48</v>
      </c>
      <c r="J570" s="2">
        <v>649</v>
      </c>
      <c r="K570" t="s">
        <v>67</v>
      </c>
      <c r="L570">
        <v>48</v>
      </c>
      <c r="M570" t="s">
        <v>25</v>
      </c>
      <c r="N570" t="s">
        <v>26</v>
      </c>
      <c r="O570">
        <v>25</v>
      </c>
      <c r="P570" t="s">
        <v>27</v>
      </c>
      <c r="Q570">
        <v>3</v>
      </c>
      <c r="R570" s="2">
        <v>649</v>
      </c>
      <c r="S570" t="str">
        <f t="shared" si="16"/>
        <v>mid career adult</v>
      </c>
      <c r="T570" t="str">
        <f t="shared" si="17"/>
        <v>Engaged Viewer</v>
      </c>
    </row>
    <row r="571" spans="1:20" x14ac:dyDescent="0.3">
      <c r="A571" t="s">
        <v>630</v>
      </c>
      <c r="B571" s="1">
        <v>45160</v>
      </c>
      <c r="C571">
        <v>2023</v>
      </c>
      <c r="D571" t="s">
        <v>34</v>
      </c>
      <c r="E571" t="s">
        <v>52</v>
      </c>
      <c r="F571" t="s">
        <v>63</v>
      </c>
      <c r="G571">
        <v>25</v>
      </c>
      <c r="H571" t="s">
        <v>22</v>
      </c>
      <c r="I571" t="s">
        <v>48</v>
      </c>
      <c r="J571" s="2">
        <v>649</v>
      </c>
      <c r="K571" t="s">
        <v>44</v>
      </c>
      <c r="L571">
        <v>20</v>
      </c>
      <c r="M571" t="s">
        <v>41</v>
      </c>
      <c r="N571" t="s">
        <v>26</v>
      </c>
      <c r="O571">
        <v>19</v>
      </c>
      <c r="P571" t="s">
        <v>27</v>
      </c>
      <c r="Q571">
        <v>4</v>
      </c>
      <c r="R571" s="2">
        <v>649</v>
      </c>
      <c r="S571" t="str">
        <f t="shared" si="16"/>
        <v>Young Professionals</v>
      </c>
      <c r="T571" t="str">
        <f t="shared" si="17"/>
        <v>Casual Viewer</v>
      </c>
    </row>
    <row r="572" spans="1:20" x14ac:dyDescent="0.3">
      <c r="A572" t="s">
        <v>631</v>
      </c>
      <c r="B572" s="1">
        <v>45037</v>
      </c>
      <c r="C572">
        <v>2023</v>
      </c>
      <c r="D572" t="s">
        <v>51</v>
      </c>
      <c r="E572" t="s">
        <v>20</v>
      </c>
      <c r="F572" t="s">
        <v>21</v>
      </c>
      <c r="G572">
        <v>40</v>
      </c>
      <c r="H572" t="s">
        <v>36</v>
      </c>
      <c r="I572" t="s">
        <v>23</v>
      </c>
      <c r="J572" s="2">
        <v>499</v>
      </c>
      <c r="K572" t="s">
        <v>49</v>
      </c>
      <c r="L572">
        <v>36</v>
      </c>
      <c r="M572" t="s">
        <v>25</v>
      </c>
      <c r="N572" t="s">
        <v>26</v>
      </c>
      <c r="O572">
        <v>11</v>
      </c>
      <c r="P572" t="s">
        <v>73</v>
      </c>
      <c r="Q572">
        <v>5</v>
      </c>
      <c r="R572" s="2">
        <v>0</v>
      </c>
      <c r="S572" t="str">
        <f t="shared" si="16"/>
        <v>mid career adult</v>
      </c>
      <c r="T572" t="str">
        <f t="shared" si="17"/>
        <v>Engaged Viewer</v>
      </c>
    </row>
    <row r="573" spans="1:20" x14ac:dyDescent="0.3">
      <c r="A573" t="s">
        <v>632</v>
      </c>
      <c r="B573" s="1">
        <v>45139</v>
      </c>
      <c r="C573">
        <v>2023</v>
      </c>
      <c r="D573" t="s">
        <v>34</v>
      </c>
      <c r="E573" t="s">
        <v>52</v>
      </c>
      <c r="F573" t="s">
        <v>21</v>
      </c>
      <c r="G573">
        <v>34</v>
      </c>
      <c r="H573" t="s">
        <v>22</v>
      </c>
      <c r="I573" t="s">
        <v>48</v>
      </c>
      <c r="J573" s="2">
        <v>649</v>
      </c>
      <c r="K573" t="s">
        <v>49</v>
      </c>
      <c r="L573">
        <v>33</v>
      </c>
      <c r="M573" t="s">
        <v>45</v>
      </c>
      <c r="N573" t="s">
        <v>58</v>
      </c>
      <c r="O573">
        <v>5</v>
      </c>
      <c r="P573" t="s">
        <v>27</v>
      </c>
      <c r="Q573">
        <v>5</v>
      </c>
      <c r="R573" s="2">
        <v>649</v>
      </c>
      <c r="S573" t="str">
        <f t="shared" si="16"/>
        <v>Young Professionals</v>
      </c>
      <c r="T573" t="str">
        <f t="shared" si="17"/>
        <v>Regular Viewer</v>
      </c>
    </row>
    <row r="574" spans="1:20" x14ac:dyDescent="0.3">
      <c r="A574" t="s">
        <v>633</v>
      </c>
      <c r="B574" s="1">
        <v>44600</v>
      </c>
      <c r="C574">
        <v>2022</v>
      </c>
      <c r="D574" t="s">
        <v>111</v>
      </c>
      <c r="E574" t="s">
        <v>43</v>
      </c>
      <c r="F574" t="s">
        <v>29</v>
      </c>
      <c r="G574">
        <v>51</v>
      </c>
      <c r="H574" t="s">
        <v>22</v>
      </c>
      <c r="I574" t="s">
        <v>37</v>
      </c>
      <c r="J574" s="2">
        <v>199</v>
      </c>
      <c r="K574" t="s">
        <v>75</v>
      </c>
      <c r="L574">
        <v>55</v>
      </c>
      <c r="M574" t="s">
        <v>25</v>
      </c>
      <c r="N574" t="s">
        <v>55</v>
      </c>
      <c r="O574">
        <v>1</v>
      </c>
      <c r="P574" t="s">
        <v>27</v>
      </c>
      <c r="Q574">
        <v>5</v>
      </c>
      <c r="R574" s="2">
        <v>199</v>
      </c>
      <c r="S574" t="str">
        <f t="shared" si="16"/>
        <v>Mature viewer</v>
      </c>
      <c r="T574" t="str">
        <f t="shared" si="17"/>
        <v>Binge watcher</v>
      </c>
    </row>
    <row r="575" spans="1:20" x14ac:dyDescent="0.3">
      <c r="A575" t="s">
        <v>634</v>
      </c>
      <c r="B575" s="1">
        <v>45825</v>
      </c>
      <c r="C575">
        <v>2025</v>
      </c>
      <c r="D575" t="s">
        <v>69</v>
      </c>
      <c r="E575" t="s">
        <v>35</v>
      </c>
      <c r="F575" t="s">
        <v>21</v>
      </c>
      <c r="G575">
        <v>48</v>
      </c>
      <c r="H575" t="s">
        <v>22</v>
      </c>
      <c r="I575" t="s">
        <v>23</v>
      </c>
      <c r="J575" s="2">
        <v>499</v>
      </c>
      <c r="K575" t="s">
        <v>24</v>
      </c>
      <c r="L575">
        <v>20</v>
      </c>
      <c r="M575" t="s">
        <v>45</v>
      </c>
      <c r="N575" t="s">
        <v>26</v>
      </c>
      <c r="O575">
        <v>36</v>
      </c>
      <c r="P575" t="s">
        <v>27</v>
      </c>
      <c r="Q575">
        <v>3</v>
      </c>
      <c r="R575" s="2">
        <v>499</v>
      </c>
      <c r="S575" t="str">
        <f t="shared" si="16"/>
        <v>Mature viewer</v>
      </c>
      <c r="T575" t="str">
        <f t="shared" si="17"/>
        <v>Casual Viewer</v>
      </c>
    </row>
    <row r="576" spans="1:20" x14ac:dyDescent="0.3">
      <c r="A576" t="s">
        <v>635</v>
      </c>
      <c r="B576" s="1">
        <v>45651</v>
      </c>
      <c r="C576">
        <v>2024</v>
      </c>
      <c r="D576" t="s">
        <v>39</v>
      </c>
      <c r="E576" t="s">
        <v>52</v>
      </c>
      <c r="F576" t="s">
        <v>21</v>
      </c>
      <c r="G576">
        <v>29</v>
      </c>
      <c r="H576" t="s">
        <v>36</v>
      </c>
      <c r="I576" t="s">
        <v>23</v>
      </c>
      <c r="J576" s="2">
        <v>499</v>
      </c>
      <c r="K576" t="s">
        <v>30</v>
      </c>
      <c r="L576">
        <v>22</v>
      </c>
      <c r="M576" t="s">
        <v>25</v>
      </c>
      <c r="N576" t="s">
        <v>32</v>
      </c>
      <c r="O576">
        <v>7</v>
      </c>
      <c r="P576" t="s">
        <v>27</v>
      </c>
      <c r="Q576">
        <v>5</v>
      </c>
      <c r="R576" s="2">
        <v>499</v>
      </c>
      <c r="S576" t="str">
        <f t="shared" si="16"/>
        <v>Young Professionals</v>
      </c>
      <c r="T576" t="str">
        <f t="shared" si="17"/>
        <v>Regular Viewer</v>
      </c>
    </row>
    <row r="577" spans="1:20" x14ac:dyDescent="0.3">
      <c r="A577" t="s">
        <v>636</v>
      </c>
      <c r="B577" s="1">
        <v>45656</v>
      </c>
      <c r="C577">
        <v>2024</v>
      </c>
      <c r="D577" t="s">
        <v>39</v>
      </c>
      <c r="E577" t="s">
        <v>20</v>
      </c>
      <c r="F577" t="s">
        <v>29</v>
      </c>
      <c r="G577">
        <v>23</v>
      </c>
      <c r="H577" t="s">
        <v>36</v>
      </c>
      <c r="I577" t="s">
        <v>37</v>
      </c>
      <c r="J577" s="2">
        <v>199</v>
      </c>
      <c r="K577" t="s">
        <v>44</v>
      </c>
      <c r="L577">
        <v>32</v>
      </c>
      <c r="M577" t="s">
        <v>31</v>
      </c>
      <c r="N577" t="s">
        <v>32</v>
      </c>
      <c r="O577">
        <v>41</v>
      </c>
      <c r="P577" t="s">
        <v>27</v>
      </c>
      <c r="Q577">
        <v>3</v>
      </c>
      <c r="R577" s="2">
        <v>199</v>
      </c>
      <c r="S577" t="str">
        <f t="shared" si="16"/>
        <v>Genz viewer</v>
      </c>
      <c r="T577" t="str">
        <f t="shared" si="17"/>
        <v>Regular Viewer</v>
      </c>
    </row>
    <row r="578" spans="1:20" x14ac:dyDescent="0.3">
      <c r="A578" t="s">
        <v>637</v>
      </c>
      <c r="B578" s="1">
        <v>45279</v>
      </c>
      <c r="C578">
        <v>2023</v>
      </c>
      <c r="D578" t="s">
        <v>39</v>
      </c>
      <c r="E578" t="s">
        <v>35</v>
      </c>
      <c r="F578" t="s">
        <v>21</v>
      </c>
      <c r="G578">
        <v>47</v>
      </c>
      <c r="H578" t="s">
        <v>22</v>
      </c>
      <c r="I578" t="s">
        <v>48</v>
      </c>
      <c r="J578" s="2">
        <v>649</v>
      </c>
      <c r="K578" t="s">
        <v>30</v>
      </c>
      <c r="L578">
        <v>29</v>
      </c>
      <c r="M578" t="s">
        <v>31</v>
      </c>
      <c r="N578" t="s">
        <v>32</v>
      </c>
      <c r="O578">
        <v>39</v>
      </c>
      <c r="P578" t="s">
        <v>27</v>
      </c>
      <c r="Q578">
        <v>3</v>
      </c>
      <c r="R578" s="2">
        <v>649</v>
      </c>
      <c r="S578" t="str">
        <f t="shared" si="16"/>
        <v>Mature viewer</v>
      </c>
      <c r="T578" t="str">
        <f t="shared" si="17"/>
        <v>Regular Viewer</v>
      </c>
    </row>
    <row r="579" spans="1:20" x14ac:dyDescent="0.3">
      <c r="A579" t="s">
        <v>638</v>
      </c>
      <c r="B579" s="1">
        <v>45883</v>
      </c>
      <c r="C579">
        <v>2025</v>
      </c>
      <c r="D579" t="s">
        <v>34</v>
      </c>
      <c r="E579" t="s">
        <v>20</v>
      </c>
      <c r="F579" t="s">
        <v>21</v>
      </c>
      <c r="G579">
        <v>46</v>
      </c>
      <c r="H579" t="s">
        <v>22</v>
      </c>
      <c r="I579" t="s">
        <v>48</v>
      </c>
      <c r="J579" s="2">
        <v>649</v>
      </c>
      <c r="K579" t="s">
        <v>44</v>
      </c>
      <c r="L579">
        <v>57</v>
      </c>
      <c r="M579" t="s">
        <v>41</v>
      </c>
      <c r="N579" t="s">
        <v>55</v>
      </c>
      <c r="O579">
        <v>25</v>
      </c>
      <c r="P579" t="s">
        <v>27</v>
      </c>
      <c r="Q579">
        <v>3</v>
      </c>
      <c r="R579" s="2">
        <v>649</v>
      </c>
      <c r="S579" t="str">
        <f t="shared" ref="S579:S601" si="18">IF(G579&lt;=24,"Genz viewer",IF(G579&lt;=34,"Young Professionals",IF(G579&lt;=44,"mid career adult",IF(G579&lt;=54,"Mature viewer","senior viewer"))))</f>
        <v>Mature viewer</v>
      </c>
      <c r="T579" t="str">
        <f t="shared" ref="T579:T601" si="19">IF(L579&lt;=20,"Casual Viewer",IF(L579&lt;=35,"Regular Viewer", IF(L579&lt;=50,"Engaged Viewer","Binge watcher")))</f>
        <v>Binge watcher</v>
      </c>
    </row>
    <row r="580" spans="1:20" x14ac:dyDescent="0.3">
      <c r="A580" t="s">
        <v>639</v>
      </c>
      <c r="B580" s="1">
        <v>45182</v>
      </c>
      <c r="C580">
        <v>2023</v>
      </c>
      <c r="D580" t="s">
        <v>60</v>
      </c>
      <c r="E580" t="s">
        <v>43</v>
      </c>
      <c r="F580" t="s">
        <v>21</v>
      </c>
      <c r="G580">
        <v>18</v>
      </c>
      <c r="H580" t="s">
        <v>22</v>
      </c>
      <c r="I580" t="s">
        <v>48</v>
      </c>
      <c r="J580" s="2">
        <v>649</v>
      </c>
      <c r="K580" t="s">
        <v>49</v>
      </c>
      <c r="L580">
        <v>43</v>
      </c>
      <c r="M580" t="s">
        <v>25</v>
      </c>
      <c r="N580" t="s">
        <v>55</v>
      </c>
      <c r="O580">
        <v>10</v>
      </c>
      <c r="P580" t="s">
        <v>27</v>
      </c>
      <c r="Q580">
        <v>4</v>
      </c>
      <c r="R580" s="2">
        <v>649</v>
      </c>
      <c r="S580" t="str">
        <f t="shared" si="18"/>
        <v>Genz viewer</v>
      </c>
      <c r="T580" t="str">
        <f t="shared" si="19"/>
        <v>Engaged Viewer</v>
      </c>
    </row>
    <row r="581" spans="1:20" x14ac:dyDescent="0.3">
      <c r="A581" t="s">
        <v>640</v>
      </c>
      <c r="B581" s="1">
        <v>45575</v>
      </c>
      <c r="C581">
        <v>2024</v>
      </c>
      <c r="D581" t="s">
        <v>47</v>
      </c>
      <c r="E581" t="s">
        <v>35</v>
      </c>
      <c r="F581" t="s">
        <v>63</v>
      </c>
      <c r="G581">
        <v>39</v>
      </c>
      <c r="H581" t="s">
        <v>36</v>
      </c>
      <c r="I581" t="s">
        <v>37</v>
      </c>
      <c r="J581" s="2">
        <v>199</v>
      </c>
      <c r="K581" t="s">
        <v>57</v>
      </c>
      <c r="L581">
        <v>56</v>
      </c>
      <c r="M581" t="s">
        <v>31</v>
      </c>
      <c r="N581" t="s">
        <v>58</v>
      </c>
      <c r="O581">
        <v>41</v>
      </c>
      <c r="P581" t="s">
        <v>27</v>
      </c>
      <c r="Q581">
        <v>3</v>
      </c>
      <c r="R581" s="2">
        <v>199</v>
      </c>
      <c r="S581" t="str">
        <f t="shared" si="18"/>
        <v>mid career adult</v>
      </c>
      <c r="T581" t="str">
        <f t="shared" si="19"/>
        <v>Binge watcher</v>
      </c>
    </row>
    <row r="582" spans="1:20" x14ac:dyDescent="0.3">
      <c r="A582" t="s">
        <v>641</v>
      </c>
      <c r="B582" s="1">
        <v>45297</v>
      </c>
      <c r="C582">
        <v>2024</v>
      </c>
      <c r="D582" t="s">
        <v>62</v>
      </c>
      <c r="E582" t="s">
        <v>52</v>
      </c>
      <c r="F582" t="s">
        <v>29</v>
      </c>
      <c r="G582">
        <v>43</v>
      </c>
      <c r="H582" t="s">
        <v>36</v>
      </c>
      <c r="I582" t="s">
        <v>48</v>
      </c>
      <c r="J582" s="2">
        <v>649</v>
      </c>
      <c r="K582" t="s">
        <v>57</v>
      </c>
      <c r="L582">
        <v>54</v>
      </c>
      <c r="M582" t="s">
        <v>31</v>
      </c>
      <c r="N582" t="s">
        <v>58</v>
      </c>
      <c r="O582">
        <v>47</v>
      </c>
      <c r="P582" t="s">
        <v>27</v>
      </c>
      <c r="Q582">
        <v>5</v>
      </c>
      <c r="R582" s="2">
        <v>649</v>
      </c>
      <c r="S582" t="str">
        <f t="shared" si="18"/>
        <v>mid career adult</v>
      </c>
      <c r="T582" t="str">
        <f t="shared" si="19"/>
        <v>Binge watcher</v>
      </c>
    </row>
    <row r="583" spans="1:20" x14ac:dyDescent="0.3">
      <c r="A583" t="s">
        <v>642</v>
      </c>
      <c r="B583" s="1">
        <v>45408</v>
      </c>
      <c r="C583">
        <v>2024</v>
      </c>
      <c r="D583" t="s">
        <v>51</v>
      </c>
      <c r="E583" t="s">
        <v>35</v>
      </c>
      <c r="F583" t="s">
        <v>63</v>
      </c>
      <c r="G583">
        <v>36</v>
      </c>
      <c r="H583" t="s">
        <v>36</v>
      </c>
      <c r="I583" t="s">
        <v>23</v>
      </c>
      <c r="J583" s="2">
        <v>499</v>
      </c>
      <c r="K583" t="s">
        <v>67</v>
      </c>
      <c r="L583">
        <v>28</v>
      </c>
      <c r="M583" t="s">
        <v>45</v>
      </c>
      <c r="N583" t="s">
        <v>32</v>
      </c>
      <c r="O583">
        <v>20</v>
      </c>
      <c r="P583" t="s">
        <v>27</v>
      </c>
      <c r="Q583">
        <v>3</v>
      </c>
      <c r="R583" s="2">
        <v>499</v>
      </c>
      <c r="S583" t="str">
        <f t="shared" si="18"/>
        <v>mid career adult</v>
      </c>
      <c r="T583" t="str">
        <f t="shared" si="19"/>
        <v>Regular Viewer</v>
      </c>
    </row>
    <row r="584" spans="1:20" x14ac:dyDescent="0.3">
      <c r="A584" t="s">
        <v>643</v>
      </c>
      <c r="B584" s="1">
        <v>44724</v>
      </c>
      <c r="C584">
        <v>2022</v>
      </c>
      <c r="D584" t="s">
        <v>69</v>
      </c>
      <c r="E584" t="s">
        <v>52</v>
      </c>
      <c r="F584" t="s">
        <v>21</v>
      </c>
      <c r="G584">
        <v>39</v>
      </c>
      <c r="H584" t="s">
        <v>36</v>
      </c>
      <c r="I584" t="s">
        <v>37</v>
      </c>
      <c r="J584" s="2">
        <v>199</v>
      </c>
      <c r="K584" t="s">
        <v>75</v>
      </c>
      <c r="L584">
        <v>56</v>
      </c>
      <c r="M584" t="s">
        <v>45</v>
      </c>
      <c r="N584" t="s">
        <v>32</v>
      </c>
      <c r="O584">
        <v>19</v>
      </c>
      <c r="P584" t="s">
        <v>27</v>
      </c>
      <c r="Q584">
        <v>3</v>
      </c>
      <c r="R584" s="2">
        <v>199</v>
      </c>
      <c r="S584" t="str">
        <f t="shared" si="18"/>
        <v>mid career adult</v>
      </c>
      <c r="T584" t="str">
        <f t="shared" si="19"/>
        <v>Binge watcher</v>
      </c>
    </row>
    <row r="585" spans="1:20" x14ac:dyDescent="0.3">
      <c r="A585" t="s">
        <v>644</v>
      </c>
      <c r="B585" s="1">
        <v>45106</v>
      </c>
      <c r="C585">
        <v>2023</v>
      </c>
      <c r="D585" t="s">
        <v>69</v>
      </c>
      <c r="E585" t="s">
        <v>43</v>
      </c>
      <c r="F585" t="s">
        <v>63</v>
      </c>
      <c r="G585">
        <v>31</v>
      </c>
      <c r="H585" t="s">
        <v>36</v>
      </c>
      <c r="I585" t="s">
        <v>37</v>
      </c>
      <c r="J585" s="2">
        <v>199</v>
      </c>
      <c r="K585" t="s">
        <v>24</v>
      </c>
      <c r="L585">
        <v>23</v>
      </c>
      <c r="M585" t="s">
        <v>25</v>
      </c>
      <c r="N585" t="s">
        <v>32</v>
      </c>
      <c r="O585">
        <v>5</v>
      </c>
      <c r="P585" t="s">
        <v>27</v>
      </c>
      <c r="Q585">
        <v>3</v>
      </c>
      <c r="R585" s="2">
        <v>199</v>
      </c>
      <c r="S585" t="str">
        <f t="shared" si="18"/>
        <v>Young Professionals</v>
      </c>
      <c r="T585" t="str">
        <f t="shared" si="19"/>
        <v>Regular Viewer</v>
      </c>
    </row>
    <row r="586" spans="1:20" x14ac:dyDescent="0.3">
      <c r="A586" t="s">
        <v>645</v>
      </c>
      <c r="B586" s="1">
        <v>45908</v>
      </c>
      <c r="C586">
        <v>2025</v>
      </c>
      <c r="D586" t="s">
        <v>60</v>
      </c>
      <c r="E586" t="s">
        <v>35</v>
      </c>
      <c r="F586" t="s">
        <v>29</v>
      </c>
      <c r="G586">
        <v>21</v>
      </c>
      <c r="H586" t="s">
        <v>22</v>
      </c>
      <c r="I586" t="s">
        <v>48</v>
      </c>
      <c r="J586" s="2">
        <v>649</v>
      </c>
      <c r="K586" t="s">
        <v>40</v>
      </c>
      <c r="L586">
        <v>52</v>
      </c>
      <c r="M586" t="s">
        <v>45</v>
      </c>
      <c r="N586" t="s">
        <v>58</v>
      </c>
      <c r="O586">
        <v>14</v>
      </c>
      <c r="P586" t="s">
        <v>27</v>
      </c>
      <c r="Q586">
        <v>4</v>
      </c>
      <c r="R586" s="2">
        <v>649</v>
      </c>
      <c r="S586" t="str">
        <f t="shared" si="18"/>
        <v>Genz viewer</v>
      </c>
      <c r="T586" t="str">
        <f t="shared" si="19"/>
        <v>Binge watcher</v>
      </c>
    </row>
    <row r="587" spans="1:20" x14ac:dyDescent="0.3">
      <c r="A587" t="s">
        <v>646</v>
      </c>
      <c r="B587" s="1">
        <v>45158</v>
      </c>
      <c r="C587">
        <v>2023</v>
      </c>
      <c r="D587" t="s">
        <v>34</v>
      </c>
      <c r="E587" t="s">
        <v>43</v>
      </c>
      <c r="F587" t="s">
        <v>29</v>
      </c>
      <c r="G587">
        <v>47</v>
      </c>
      <c r="H587" t="s">
        <v>22</v>
      </c>
      <c r="I587" t="s">
        <v>37</v>
      </c>
      <c r="J587" s="2">
        <v>199</v>
      </c>
      <c r="K587" t="s">
        <v>44</v>
      </c>
      <c r="L587">
        <v>38</v>
      </c>
      <c r="M587" t="s">
        <v>31</v>
      </c>
      <c r="N587" t="s">
        <v>55</v>
      </c>
      <c r="O587">
        <v>40</v>
      </c>
      <c r="P587" t="s">
        <v>27</v>
      </c>
      <c r="Q587">
        <v>4</v>
      </c>
      <c r="R587" s="2">
        <v>199</v>
      </c>
      <c r="S587" t="str">
        <f t="shared" si="18"/>
        <v>Mature viewer</v>
      </c>
      <c r="T587" t="str">
        <f t="shared" si="19"/>
        <v>Engaged Viewer</v>
      </c>
    </row>
    <row r="588" spans="1:20" x14ac:dyDescent="0.3">
      <c r="A588" t="s">
        <v>647</v>
      </c>
      <c r="B588" s="1">
        <v>45680</v>
      </c>
      <c r="C588">
        <v>2025</v>
      </c>
      <c r="D588" t="s">
        <v>62</v>
      </c>
      <c r="E588" t="s">
        <v>43</v>
      </c>
      <c r="F588" t="s">
        <v>29</v>
      </c>
      <c r="G588">
        <v>35</v>
      </c>
      <c r="H588" t="s">
        <v>22</v>
      </c>
      <c r="I588" t="s">
        <v>23</v>
      </c>
      <c r="J588" s="2">
        <v>499</v>
      </c>
      <c r="K588" t="s">
        <v>30</v>
      </c>
      <c r="L588">
        <v>48</v>
      </c>
      <c r="M588" t="s">
        <v>45</v>
      </c>
      <c r="N588" t="s">
        <v>58</v>
      </c>
      <c r="O588">
        <v>44</v>
      </c>
      <c r="P588" t="s">
        <v>27</v>
      </c>
      <c r="Q588">
        <v>5</v>
      </c>
      <c r="R588" s="2">
        <v>499</v>
      </c>
      <c r="S588" t="str">
        <f t="shared" si="18"/>
        <v>mid career adult</v>
      </c>
      <c r="T588" t="str">
        <f t="shared" si="19"/>
        <v>Engaged Viewer</v>
      </c>
    </row>
    <row r="589" spans="1:20" x14ac:dyDescent="0.3">
      <c r="A589" t="s">
        <v>648</v>
      </c>
      <c r="B589" s="1">
        <v>44822</v>
      </c>
      <c r="C589">
        <v>2022</v>
      </c>
      <c r="D589" t="s">
        <v>60</v>
      </c>
      <c r="E589" t="s">
        <v>35</v>
      </c>
      <c r="F589" t="s">
        <v>21</v>
      </c>
      <c r="G589">
        <v>28</v>
      </c>
      <c r="H589" t="s">
        <v>36</v>
      </c>
      <c r="I589" t="s">
        <v>37</v>
      </c>
      <c r="J589" s="2">
        <v>199</v>
      </c>
      <c r="K589" t="s">
        <v>49</v>
      </c>
      <c r="L589">
        <v>34</v>
      </c>
      <c r="M589" t="s">
        <v>45</v>
      </c>
      <c r="N589" t="s">
        <v>32</v>
      </c>
      <c r="O589">
        <v>6</v>
      </c>
      <c r="P589" t="s">
        <v>27</v>
      </c>
      <c r="Q589">
        <v>3</v>
      </c>
      <c r="R589" s="2">
        <v>199</v>
      </c>
      <c r="S589" t="str">
        <f t="shared" si="18"/>
        <v>Young Professionals</v>
      </c>
      <c r="T589" t="str">
        <f t="shared" si="19"/>
        <v>Regular Viewer</v>
      </c>
    </row>
    <row r="590" spans="1:20" x14ac:dyDescent="0.3">
      <c r="A590" t="s">
        <v>649</v>
      </c>
      <c r="B590" s="1">
        <v>45068</v>
      </c>
      <c r="C590">
        <v>2023</v>
      </c>
      <c r="D590" t="s">
        <v>79</v>
      </c>
      <c r="E590" t="s">
        <v>35</v>
      </c>
      <c r="F590" t="s">
        <v>63</v>
      </c>
      <c r="G590">
        <v>32</v>
      </c>
      <c r="H590" t="s">
        <v>36</v>
      </c>
      <c r="I590" t="s">
        <v>48</v>
      </c>
      <c r="J590" s="2">
        <v>649</v>
      </c>
      <c r="K590" t="s">
        <v>49</v>
      </c>
      <c r="L590">
        <v>59</v>
      </c>
      <c r="M590" t="s">
        <v>41</v>
      </c>
      <c r="N590" t="s">
        <v>32</v>
      </c>
      <c r="O590">
        <v>24</v>
      </c>
      <c r="P590" t="s">
        <v>27</v>
      </c>
      <c r="Q590">
        <v>5</v>
      </c>
      <c r="R590" s="2">
        <v>649</v>
      </c>
      <c r="S590" t="str">
        <f t="shared" si="18"/>
        <v>Young Professionals</v>
      </c>
      <c r="T590" t="str">
        <f t="shared" si="19"/>
        <v>Binge watcher</v>
      </c>
    </row>
    <row r="591" spans="1:20" x14ac:dyDescent="0.3">
      <c r="A591" t="s">
        <v>650</v>
      </c>
      <c r="B591" s="1">
        <v>45285</v>
      </c>
      <c r="C591">
        <v>2023</v>
      </c>
      <c r="D591" t="s">
        <v>39</v>
      </c>
      <c r="E591" t="s">
        <v>43</v>
      </c>
      <c r="F591" t="s">
        <v>63</v>
      </c>
      <c r="G591">
        <v>51</v>
      </c>
      <c r="H591" t="s">
        <v>22</v>
      </c>
      <c r="I591" t="s">
        <v>23</v>
      </c>
      <c r="J591" s="2">
        <v>499</v>
      </c>
      <c r="K591" t="s">
        <v>53</v>
      </c>
      <c r="L591">
        <v>36</v>
      </c>
      <c r="M591" t="s">
        <v>41</v>
      </c>
      <c r="N591" t="s">
        <v>55</v>
      </c>
      <c r="O591">
        <v>36</v>
      </c>
      <c r="P591" t="s">
        <v>27</v>
      </c>
      <c r="Q591">
        <v>3</v>
      </c>
      <c r="R591" s="2">
        <v>499</v>
      </c>
      <c r="S591" t="str">
        <f t="shared" si="18"/>
        <v>Mature viewer</v>
      </c>
      <c r="T591" t="str">
        <f t="shared" si="19"/>
        <v>Engaged Viewer</v>
      </c>
    </row>
    <row r="592" spans="1:20" x14ac:dyDescent="0.3">
      <c r="A592" t="s">
        <v>651</v>
      </c>
      <c r="B592" s="1">
        <v>45153</v>
      </c>
      <c r="C592">
        <v>2023</v>
      </c>
      <c r="D592" t="s">
        <v>34</v>
      </c>
      <c r="E592" t="s">
        <v>43</v>
      </c>
      <c r="F592" t="s">
        <v>21</v>
      </c>
      <c r="G592">
        <v>22</v>
      </c>
      <c r="H592" t="s">
        <v>22</v>
      </c>
      <c r="I592" t="s">
        <v>37</v>
      </c>
      <c r="J592" s="2">
        <v>199</v>
      </c>
      <c r="K592" t="s">
        <v>53</v>
      </c>
      <c r="L592">
        <v>35</v>
      </c>
      <c r="M592" t="s">
        <v>45</v>
      </c>
      <c r="N592" t="s">
        <v>55</v>
      </c>
      <c r="O592">
        <v>21</v>
      </c>
      <c r="P592" t="s">
        <v>73</v>
      </c>
      <c r="Q592">
        <v>3</v>
      </c>
      <c r="R592" s="2">
        <v>0</v>
      </c>
      <c r="S592" t="str">
        <f t="shared" si="18"/>
        <v>Genz viewer</v>
      </c>
      <c r="T592" t="str">
        <f t="shared" si="19"/>
        <v>Regular Viewer</v>
      </c>
    </row>
    <row r="593" spans="1:20" x14ac:dyDescent="0.3">
      <c r="A593" t="s">
        <v>652</v>
      </c>
      <c r="B593" s="1">
        <v>45616</v>
      </c>
      <c r="C593">
        <v>2024</v>
      </c>
      <c r="D593" t="s">
        <v>19</v>
      </c>
      <c r="E593" t="s">
        <v>35</v>
      </c>
      <c r="F593" t="s">
        <v>63</v>
      </c>
      <c r="G593">
        <v>51</v>
      </c>
      <c r="H593" t="s">
        <v>36</v>
      </c>
      <c r="I593" t="s">
        <v>23</v>
      </c>
      <c r="J593" s="2">
        <v>499</v>
      </c>
      <c r="K593" t="s">
        <v>49</v>
      </c>
      <c r="L593">
        <v>27</v>
      </c>
      <c r="M593" t="s">
        <v>25</v>
      </c>
      <c r="N593" t="s">
        <v>32</v>
      </c>
      <c r="O593">
        <v>23</v>
      </c>
      <c r="P593" t="s">
        <v>73</v>
      </c>
      <c r="Q593">
        <v>3</v>
      </c>
      <c r="R593" s="2">
        <v>0</v>
      </c>
      <c r="S593" t="str">
        <f t="shared" si="18"/>
        <v>Mature viewer</v>
      </c>
      <c r="T593" t="str">
        <f t="shared" si="19"/>
        <v>Regular Viewer</v>
      </c>
    </row>
    <row r="594" spans="1:20" x14ac:dyDescent="0.3">
      <c r="A594" t="s">
        <v>653</v>
      </c>
      <c r="B594" s="1">
        <v>44977</v>
      </c>
      <c r="C594">
        <v>2023</v>
      </c>
      <c r="D594" t="s">
        <v>111</v>
      </c>
      <c r="E594" t="s">
        <v>43</v>
      </c>
      <c r="F594" t="s">
        <v>21</v>
      </c>
      <c r="G594">
        <v>21</v>
      </c>
      <c r="H594" t="s">
        <v>36</v>
      </c>
      <c r="I594" t="s">
        <v>23</v>
      </c>
      <c r="J594" s="2">
        <v>499</v>
      </c>
      <c r="K594" t="s">
        <v>40</v>
      </c>
      <c r="L594">
        <v>54</v>
      </c>
      <c r="M594" t="s">
        <v>31</v>
      </c>
      <c r="N594" t="s">
        <v>58</v>
      </c>
      <c r="O594">
        <v>26</v>
      </c>
      <c r="P594" t="s">
        <v>27</v>
      </c>
      <c r="Q594">
        <v>4</v>
      </c>
      <c r="R594" s="2">
        <v>499</v>
      </c>
      <c r="S594" t="str">
        <f t="shared" si="18"/>
        <v>Genz viewer</v>
      </c>
      <c r="T594" t="str">
        <f t="shared" si="19"/>
        <v>Binge watcher</v>
      </c>
    </row>
    <row r="595" spans="1:20" x14ac:dyDescent="0.3">
      <c r="A595" t="s">
        <v>654</v>
      </c>
      <c r="B595" s="1">
        <v>44702</v>
      </c>
      <c r="C595">
        <v>2022</v>
      </c>
      <c r="D595" t="s">
        <v>79</v>
      </c>
      <c r="E595" t="s">
        <v>52</v>
      </c>
      <c r="F595" t="s">
        <v>29</v>
      </c>
      <c r="G595">
        <v>37</v>
      </c>
      <c r="H595" t="s">
        <v>36</v>
      </c>
      <c r="I595" t="s">
        <v>37</v>
      </c>
      <c r="J595" s="2">
        <v>199</v>
      </c>
      <c r="K595" t="s">
        <v>24</v>
      </c>
      <c r="L595">
        <v>21</v>
      </c>
      <c r="M595" t="s">
        <v>41</v>
      </c>
      <c r="N595" t="s">
        <v>32</v>
      </c>
      <c r="O595">
        <v>36</v>
      </c>
      <c r="P595" t="s">
        <v>27</v>
      </c>
      <c r="Q595">
        <v>3</v>
      </c>
      <c r="R595" s="2">
        <v>199</v>
      </c>
      <c r="S595" t="str">
        <f t="shared" si="18"/>
        <v>mid career adult</v>
      </c>
      <c r="T595" t="str">
        <f t="shared" si="19"/>
        <v>Regular Viewer</v>
      </c>
    </row>
    <row r="596" spans="1:20" x14ac:dyDescent="0.3">
      <c r="A596" t="s">
        <v>655</v>
      </c>
      <c r="B596" s="1">
        <v>45666</v>
      </c>
      <c r="C596">
        <v>2025</v>
      </c>
      <c r="D596" t="s">
        <v>62</v>
      </c>
      <c r="E596" t="s">
        <v>20</v>
      </c>
      <c r="F596" t="s">
        <v>29</v>
      </c>
      <c r="G596">
        <v>54</v>
      </c>
      <c r="H596" t="s">
        <v>36</v>
      </c>
      <c r="I596" t="s">
        <v>48</v>
      </c>
      <c r="J596" s="2">
        <v>649</v>
      </c>
      <c r="K596" t="s">
        <v>24</v>
      </c>
      <c r="L596">
        <v>38</v>
      </c>
      <c r="M596" t="s">
        <v>25</v>
      </c>
      <c r="N596" t="s">
        <v>58</v>
      </c>
      <c r="O596">
        <v>45</v>
      </c>
      <c r="P596" t="s">
        <v>27</v>
      </c>
      <c r="Q596">
        <v>5</v>
      </c>
      <c r="R596" s="2">
        <v>649</v>
      </c>
      <c r="S596" t="str">
        <f t="shared" si="18"/>
        <v>Mature viewer</v>
      </c>
      <c r="T596" t="str">
        <f t="shared" si="19"/>
        <v>Engaged Viewer</v>
      </c>
    </row>
    <row r="597" spans="1:20" x14ac:dyDescent="0.3">
      <c r="A597" t="s">
        <v>656</v>
      </c>
      <c r="B597" s="1">
        <v>45663</v>
      </c>
      <c r="C597">
        <v>2025</v>
      </c>
      <c r="D597" t="s">
        <v>62</v>
      </c>
      <c r="E597" t="s">
        <v>20</v>
      </c>
      <c r="F597" t="s">
        <v>21</v>
      </c>
      <c r="G597">
        <v>43</v>
      </c>
      <c r="H597" t="s">
        <v>36</v>
      </c>
      <c r="I597" t="s">
        <v>23</v>
      </c>
      <c r="J597" s="2">
        <v>499</v>
      </c>
      <c r="K597" t="s">
        <v>75</v>
      </c>
      <c r="L597">
        <v>53</v>
      </c>
      <c r="M597" t="s">
        <v>25</v>
      </c>
      <c r="N597" t="s">
        <v>55</v>
      </c>
      <c r="O597">
        <v>27</v>
      </c>
      <c r="P597" t="s">
        <v>27</v>
      </c>
      <c r="Q597">
        <v>5</v>
      </c>
      <c r="R597" s="2">
        <v>499</v>
      </c>
      <c r="S597" t="str">
        <f t="shared" si="18"/>
        <v>mid career adult</v>
      </c>
      <c r="T597" t="str">
        <f t="shared" si="19"/>
        <v>Binge watcher</v>
      </c>
    </row>
    <row r="598" spans="1:20" x14ac:dyDescent="0.3">
      <c r="A598" t="s">
        <v>657</v>
      </c>
      <c r="B598" s="1">
        <v>45504</v>
      </c>
      <c r="C598">
        <v>2024</v>
      </c>
      <c r="D598" t="s">
        <v>85</v>
      </c>
      <c r="E598" t="s">
        <v>52</v>
      </c>
      <c r="F598" t="s">
        <v>63</v>
      </c>
      <c r="G598">
        <v>30</v>
      </c>
      <c r="H598" t="s">
        <v>36</v>
      </c>
      <c r="I598" t="s">
        <v>23</v>
      </c>
      <c r="J598" s="2">
        <v>499</v>
      </c>
      <c r="K598" t="s">
        <v>40</v>
      </c>
      <c r="L598">
        <v>40</v>
      </c>
      <c r="M598" t="s">
        <v>25</v>
      </c>
      <c r="N598" t="s">
        <v>26</v>
      </c>
      <c r="O598">
        <v>48</v>
      </c>
      <c r="P598" t="s">
        <v>27</v>
      </c>
      <c r="Q598">
        <v>3</v>
      </c>
      <c r="R598" s="2">
        <v>499</v>
      </c>
      <c r="S598" t="str">
        <f t="shared" si="18"/>
        <v>Young Professionals</v>
      </c>
      <c r="T598" t="str">
        <f t="shared" si="19"/>
        <v>Engaged Viewer</v>
      </c>
    </row>
    <row r="599" spans="1:20" x14ac:dyDescent="0.3">
      <c r="A599" t="s">
        <v>658</v>
      </c>
      <c r="B599" s="1">
        <v>45645</v>
      </c>
      <c r="C599">
        <v>2024</v>
      </c>
      <c r="D599" t="s">
        <v>39</v>
      </c>
      <c r="E599" t="s">
        <v>35</v>
      </c>
      <c r="F599" t="s">
        <v>63</v>
      </c>
      <c r="G599">
        <v>52</v>
      </c>
      <c r="H599" t="s">
        <v>36</v>
      </c>
      <c r="I599" t="s">
        <v>23</v>
      </c>
      <c r="J599" s="2">
        <v>499</v>
      </c>
      <c r="K599" t="s">
        <v>24</v>
      </c>
      <c r="L599">
        <v>35</v>
      </c>
      <c r="M599" t="s">
        <v>31</v>
      </c>
      <c r="N599" t="s">
        <v>58</v>
      </c>
      <c r="O599">
        <v>35</v>
      </c>
      <c r="P599" t="s">
        <v>27</v>
      </c>
      <c r="Q599">
        <v>5</v>
      </c>
      <c r="R599" s="2">
        <v>499</v>
      </c>
      <c r="S599" t="str">
        <f t="shared" si="18"/>
        <v>Mature viewer</v>
      </c>
      <c r="T599" t="str">
        <f t="shared" si="19"/>
        <v>Regular Viewer</v>
      </c>
    </row>
    <row r="600" spans="1:20" x14ac:dyDescent="0.3">
      <c r="A600" t="s">
        <v>659</v>
      </c>
      <c r="B600" s="1">
        <v>45368</v>
      </c>
      <c r="C600">
        <v>2024</v>
      </c>
      <c r="D600" t="s">
        <v>66</v>
      </c>
      <c r="E600" t="s">
        <v>43</v>
      </c>
      <c r="F600" t="s">
        <v>21</v>
      </c>
      <c r="G600">
        <v>44</v>
      </c>
      <c r="H600" t="s">
        <v>36</v>
      </c>
      <c r="I600" t="s">
        <v>37</v>
      </c>
      <c r="J600" s="2">
        <v>199</v>
      </c>
      <c r="K600" t="s">
        <v>49</v>
      </c>
      <c r="L600">
        <v>49</v>
      </c>
      <c r="M600" t="s">
        <v>31</v>
      </c>
      <c r="N600" t="s">
        <v>55</v>
      </c>
      <c r="O600">
        <v>8</v>
      </c>
      <c r="P600" t="s">
        <v>27</v>
      </c>
      <c r="Q600">
        <v>4</v>
      </c>
      <c r="R600" s="2">
        <v>199</v>
      </c>
      <c r="S600" t="str">
        <f t="shared" si="18"/>
        <v>mid career adult</v>
      </c>
      <c r="T600" t="str">
        <f t="shared" si="19"/>
        <v>Engaged Viewer</v>
      </c>
    </row>
    <row r="601" spans="1:20" x14ac:dyDescent="0.3">
      <c r="A601" t="s">
        <v>660</v>
      </c>
      <c r="B601" s="1">
        <v>44823</v>
      </c>
      <c r="C601">
        <v>2022</v>
      </c>
      <c r="D601" t="s">
        <v>60</v>
      </c>
      <c r="E601" t="s">
        <v>35</v>
      </c>
      <c r="F601" t="s">
        <v>63</v>
      </c>
      <c r="G601">
        <v>37</v>
      </c>
      <c r="H601" t="s">
        <v>36</v>
      </c>
      <c r="I601" t="s">
        <v>37</v>
      </c>
      <c r="J601" s="2">
        <v>199</v>
      </c>
      <c r="K601" t="s">
        <v>53</v>
      </c>
      <c r="L601">
        <v>54</v>
      </c>
      <c r="M601" t="s">
        <v>45</v>
      </c>
      <c r="N601" t="s">
        <v>26</v>
      </c>
      <c r="O601">
        <v>4</v>
      </c>
      <c r="P601" t="s">
        <v>27</v>
      </c>
      <c r="Q601">
        <v>4</v>
      </c>
      <c r="R601" s="2">
        <v>199</v>
      </c>
      <c r="S601" t="str">
        <f t="shared" si="18"/>
        <v>mid career adult</v>
      </c>
      <c r="T601" t="str">
        <f t="shared" si="19"/>
        <v>Binge watcher</v>
      </c>
    </row>
  </sheetData>
  <conditionalFormatting sqref="G1:G1048576">
    <cfRule type="cellIs" dxfId="4" priority="5" operator="between">
      <formula>18</formula>
      <formula>30</formula>
    </cfRule>
  </conditionalFormatting>
  <conditionalFormatting sqref="L2:L1048576">
    <cfRule type="cellIs" dxfId="3" priority="6" operator="greaterThan">
      <formula>50</formula>
    </cfRule>
  </conditionalFormatting>
  <conditionalFormatting sqref="N1:N1048576">
    <cfRule type="top10" dxfId="2" priority="1" rank="10"/>
    <cfRule type="top10" dxfId="1" priority="2" rank="1"/>
  </conditionalFormatting>
  <conditionalFormatting sqref="O1:O1048576">
    <cfRule type="top10" dxfId="0" priority="3" rank="1"/>
    <cfRule type="top10" priority="4"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FD1C-D994-44FF-ACDD-90C212149242}">
  <dimension ref="A3:K35"/>
  <sheetViews>
    <sheetView topLeftCell="A15" zoomScale="103" workbookViewId="0">
      <selection activeCell="J20" sqref="J20"/>
    </sheetView>
  </sheetViews>
  <sheetFormatPr defaultRowHeight="14.4" x14ac:dyDescent="0.3"/>
  <cols>
    <col min="1" max="1" width="12.77734375" bestFit="1" customWidth="1"/>
    <col min="2" max="2" width="19.88671875" bestFit="1" customWidth="1"/>
    <col min="3" max="3" width="5.6640625" bestFit="1" customWidth="1"/>
    <col min="4" max="4" width="12.77734375" bestFit="1" customWidth="1"/>
    <col min="5" max="5" width="19.88671875" bestFit="1" customWidth="1"/>
    <col min="6" max="6" width="10.5546875" bestFit="1" customWidth="1"/>
    <col min="7" max="7" width="17.6640625" bestFit="1" customWidth="1"/>
    <col min="8" max="8" width="19.88671875" bestFit="1" customWidth="1"/>
    <col min="9" max="9" width="5.6640625" bestFit="1" customWidth="1"/>
    <col min="10" max="10" width="17.6640625" bestFit="1" customWidth="1"/>
    <col min="11" max="11" width="26.44140625" bestFit="1" customWidth="1"/>
    <col min="12" max="13" width="10.5546875" bestFit="1" customWidth="1"/>
  </cols>
  <sheetData>
    <row r="3" spans="1:11" x14ac:dyDescent="0.3">
      <c r="A3" s="3" t="s">
        <v>661</v>
      </c>
      <c r="B3" t="s">
        <v>664</v>
      </c>
      <c r="D3" s="3" t="s">
        <v>661</v>
      </c>
      <c r="E3" t="s">
        <v>664</v>
      </c>
      <c r="G3" s="3" t="s">
        <v>661</v>
      </c>
      <c r="H3" t="s">
        <v>664</v>
      </c>
      <c r="J3" s="3" t="s">
        <v>661</v>
      </c>
      <c r="K3" t="s">
        <v>664</v>
      </c>
    </row>
    <row r="4" spans="1:11" x14ac:dyDescent="0.3">
      <c r="A4" s="4" t="s">
        <v>37</v>
      </c>
      <c r="B4" s="6">
        <v>87</v>
      </c>
      <c r="D4" s="4" t="s">
        <v>57</v>
      </c>
      <c r="E4" s="6">
        <v>13</v>
      </c>
      <c r="G4" s="4" t="s">
        <v>676</v>
      </c>
      <c r="H4" s="6">
        <v>53</v>
      </c>
      <c r="J4" s="4" t="s">
        <v>58</v>
      </c>
      <c r="K4" s="6">
        <v>51</v>
      </c>
    </row>
    <row r="5" spans="1:11" x14ac:dyDescent="0.3">
      <c r="A5" s="4" t="s">
        <v>48</v>
      </c>
      <c r="B5" s="6">
        <v>47</v>
      </c>
      <c r="D5" s="4" t="s">
        <v>44</v>
      </c>
      <c r="E5" s="6">
        <v>30</v>
      </c>
      <c r="G5" s="4" t="s">
        <v>677</v>
      </c>
      <c r="H5" s="6">
        <v>2</v>
      </c>
      <c r="J5" s="4" t="s">
        <v>32</v>
      </c>
      <c r="K5" s="6">
        <v>56</v>
      </c>
    </row>
    <row r="6" spans="1:11" x14ac:dyDescent="0.3">
      <c r="A6" s="4" t="s">
        <v>23</v>
      </c>
      <c r="B6" s="6">
        <v>76</v>
      </c>
      <c r="D6" s="4" t="s">
        <v>24</v>
      </c>
      <c r="E6" s="6">
        <v>24</v>
      </c>
      <c r="G6" s="4" t="s">
        <v>678</v>
      </c>
      <c r="H6" s="6">
        <v>74</v>
      </c>
      <c r="J6" s="4" t="s">
        <v>55</v>
      </c>
      <c r="K6" s="6">
        <v>50</v>
      </c>
    </row>
    <row r="7" spans="1:11" x14ac:dyDescent="0.3">
      <c r="A7" s="4" t="s">
        <v>662</v>
      </c>
      <c r="B7" s="6">
        <v>210</v>
      </c>
      <c r="D7" s="4" t="s">
        <v>40</v>
      </c>
      <c r="E7" s="6">
        <v>27</v>
      </c>
      <c r="G7" s="4" t="s">
        <v>679</v>
      </c>
      <c r="H7" s="6">
        <v>81</v>
      </c>
      <c r="J7" s="4" t="s">
        <v>26</v>
      </c>
      <c r="K7" s="6">
        <v>53</v>
      </c>
    </row>
    <row r="8" spans="1:11" x14ac:dyDescent="0.3">
      <c r="D8" s="4" t="s">
        <v>30</v>
      </c>
      <c r="E8" s="6">
        <v>28</v>
      </c>
      <c r="G8" s="4" t="s">
        <v>662</v>
      </c>
      <c r="H8" s="6">
        <v>210</v>
      </c>
      <c r="J8" s="4" t="s">
        <v>662</v>
      </c>
      <c r="K8" s="6">
        <v>210</v>
      </c>
    </row>
    <row r="9" spans="1:11" x14ac:dyDescent="0.3">
      <c r="D9" s="4" t="s">
        <v>49</v>
      </c>
      <c r="E9" s="6">
        <v>26</v>
      </c>
    </row>
    <row r="10" spans="1:11" x14ac:dyDescent="0.3">
      <c r="A10" s="3" t="s">
        <v>661</v>
      </c>
      <c r="B10" t="s">
        <v>664</v>
      </c>
      <c r="D10" s="4" t="s">
        <v>75</v>
      </c>
      <c r="E10" s="6">
        <v>26</v>
      </c>
    </row>
    <row r="11" spans="1:11" x14ac:dyDescent="0.3">
      <c r="A11" s="4" t="s">
        <v>27</v>
      </c>
      <c r="B11" s="6">
        <v>188</v>
      </c>
      <c r="D11" s="4" t="s">
        <v>67</v>
      </c>
      <c r="E11" s="6">
        <v>18</v>
      </c>
      <c r="G11" s="3" t="s">
        <v>661</v>
      </c>
      <c r="H11" t="s">
        <v>664</v>
      </c>
      <c r="J11" s="3" t="s">
        <v>661</v>
      </c>
      <c r="K11" t="s">
        <v>680</v>
      </c>
    </row>
    <row r="12" spans="1:11" x14ac:dyDescent="0.3">
      <c r="A12" s="5" t="s">
        <v>36</v>
      </c>
      <c r="B12" s="6">
        <v>88</v>
      </c>
      <c r="D12" s="4" t="s">
        <v>53</v>
      </c>
      <c r="E12" s="6">
        <v>18</v>
      </c>
      <c r="G12" s="4" t="s">
        <v>671</v>
      </c>
      <c r="H12" s="6">
        <v>33</v>
      </c>
      <c r="J12" s="4" t="s">
        <v>671</v>
      </c>
      <c r="K12" s="6">
        <v>12919</v>
      </c>
    </row>
    <row r="13" spans="1:11" x14ac:dyDescent="0.3">
      <c r="A13" s="5" t="s">
        <v>22</v>
      </c>
      <c r="B13" s="6">
        <v>100</v>
      </c>
      <c r="D13" s="4" t="s">
        <v>662</v>
      </c>
      <c r="E13" s="6">
        <v>210</v>
      </c>
      <c r="G13" s="4" t="s">
        <v>672</v>
      </c>
      <c r="H13" s="6">
        <v>48</v>
      </c>
      <c r="J13" s="4" t="s">
        <v>672</v>
      </c>
      <c r="K13" s="6">
        <v>17857</v>
      </c>
    </row>
    <row r="14" spans="1:11" x14ac:dyDescent="0.3">
      <c r="A14" s="4" t="s">
        <v>73</v>
      </c>
      <c r="B14" s="6">
        <v>22</v>
      </c>
      <c r="G14" s="4" t="s">
        <v>673</v>
      </c>
      <c r="H14" s="6">
        <v>63</v>
      </c>
      <c r="J14" s="4" t="s">
        <v>673</v>
      </c>
      <c r="K14" s="6">
        <v>22795</v>
      </c>
    </row>
    <row r="15" spans="1:11" x14ac:dyDescent="0.3">
      <c r="A15" s="5" t="s">
        <v>36</v>
      </c>
      <c r="B15" s="6">
        <v>10</v>
      </c>
      <c r="G15" s="4" t="s">
        <v>674</v>
      </c>
      <c r="H15" s="6">
        <v>7</v>
      </c>
      <c r="J15" s="4" t="s">
        <v>674</v>
      </c>
      <c r="K15" s="6">
        <v>3343</v>
      </c>
    </row>
    <row r="16" spans="1:11" x14ac:dyDescent="0.3">
      <c r="A16" s="5" t="s">
        <v>22</v>
      </c>
      <c r="B16" s="6">
        <v>12</v>
      </c>
      <c r="G16" s="4" t="s">
        <v>675</v>
      </c>
      <c r="H16" s="6">
        <v>59</v>
      </c>
      <c r="J16" s="4" t="s">
        <v>675</v>
      </c>
      <c r="K16" s="6">
        <v>20698</v>
      </c>
    </row>
    <row r="17" spans="1:11" x14ac:dyDescent="0.3">
      <c r="A17" s="4" t="s">
        <v>662</v>
      </c>
      <c r="B17" s="6">
        <v>210</v>
      </c>
      <c r="G17" s="4" t="s">
        <v>662</v>
      </c>
      <c r="H17" s="6">
        <v>210</v>
      </c>
      <c r="J17" s="4" t="s">
        <v>662</v>
      </c>
      <c r="K17" s="6">
        <v>77612</v>
      </c>
    </row>
    <row r="20" spans="1:11" x14ac:dyDescent="0.3">
      <c r="A20" s="3" t="s">
        <v>661</v>
      </c>
      <c r="B20" t="s">
        <v>664</v>
      </c>
      <c r="D20" s="3" t="s">
        <v>661</v>
      </c>
      <c r="E20" t="s">
        <v>664</v>
      </c>
      <c r="G20" s="3" t="s">
        <v>661</v>
      </c>
      <c r="H20" t="s">
        <v>664</v>
      </c>
    </row>
    <row r="21" spans="1:11" x14ac:dyDescent="0.3">
      <c r="A21" s="4" t="s">
        <v>665</v>
      </c>
      <c r="B21" s="6">
        <v>62</v>
      </c>
      <c r="D21" s="4" t="s">
        <v>35</v>
      </c>
      <c r="E21" s="6">
        <v>55</v>
      </c>
      <c r="G21" s="4">
        <v>2</v>
      </c>
      <c r="H21" s="6">
        <v>7</v>
      </c>
    </row>
    <row r="22" spans="1:11" x14ac:dyDescent="0.3">
      <c r="A22" s="4" t="s">
        <v>666</v>
      </c>
      <c r="B22" s="6">
        <v>48</v>
      </c>
      <c r="D22" s="4" t="s">
        <v>43</v>
      </c>
      <c r="E22" s="6">
        <v>58</v>
      </c>
      <c r="G22" s="4">
        <v>3</v>
      </c>
      <c r="H22" s="6">
        <v>52</v>
      </c>
    </row>
    <row r="23" spans="1:11" x14ac:dyDescent="0.3">
      <c r="A23" s="4" t="s">
        <v>667</v>
      </c>
      <c r="B23" s="6">
        <v>53</v>
      </c>
      <c r="D23" s="4" t="s">
        <v>52</v>
      </c>
      <c r="E23" s="6">
        <v>45</v>
      </c>
      <c r="G23" s="4">
        <v>4</v>
      </c>
      <c r="H23" s="6">
        <v>71</v>
      </c>
    </row>
    <row r="24" spans="1:11" x14ac:dyDescent="0.3">
      <c r="A24" s="4" t="s">
        <v>668</v>
      </c>
      <c r="B24" s="6">
        <v>47</v>
      </c>
      <c r="D24" s="4" t="s">
        <v>20</v>
      </c>
      <c r="E24" s="6">
        <v>52</v>
      </c>
      <c r="G24" s="4">
        <v>5</v>
      </c>
      <c r="H24" s="6">
        <v>80</v>
      </c>
    </row>
    <row r="25" spans="1:11" x14ac:dyDescent="0.3">
      <c r="A25" s="4" t="s">
        <v>662</v>
      </c>
      <c r="B25" s="6">
        <v>210</v>
      </c>
      <c r="D25" s="4" t="s">
        <v>662</v>
      </c>
      <c r="E25" s="6">
        <v>210</v>
      </c>
      <c r="G25" s="4" t="s">
        <v>662</v>
      </c>
      <c r="H25" s="6">
        <v>210</v>
      </c>
    </row>
    <row r="29" spans="1:11" x14ac:dyDescent="0.3">
      <c r="A29" s="3" t="s">
        <v>664</v>
      </c>
      <c r="B29" s="3" t="s">
        <v>663</v>
      </c>
    </row>
    <row r="30" spans="1:11" x14ac:dyDescent="0.3">
      <c r="A30" s="3" t="s">
        <v>661</v>
      </c>
      <c r="B30" t="s">
        <v>35</v>
      </c>
      <c r="C30" t="s">
        <v>43</v>
      </c>
      <c r="D30" t="s">
        <v>52</v>
      </c>
      <c r="E30" t="s">
        <v>20</v>
      </c>
      <c r="F30" t="s">
        <v>662</v>
      </c>
    </row>
    <row r="31" spans="1:11" x14ac:dyDescent="0.3">
      <c r="A31" s="4" t="s">
        <v>25</v>
      </c>
      <c r="B31" s="6">
        <v>40</v>
      </c>
      <c r="C31" s="6">
        <v>40</v>
      </c>
      <c r="D31" s="6">
        <v>33</v>
      </c>
      <c r="E31" s="6">
        <v>35</v>
      </c>
      <c r="F31" s="6">
        <v>148</v>
      </c>
    </row>
    <row r="32" spans="1:11" x14ac:dyDescent="0.3">
      <c r="A32" s="4" t="s">
        <v>45</v>
      </c>
      <c r="B32" s="6">
        <v>35</v>
      </c>
      <c r="C32" s="6">
        <v>47</v>
      </c>
      <c r="D32" s="6">
        <v>38</v>
      </c>
      <c r="E32" s="6">
        <v>38</v>
      </c>
      <c r="F32" s="6">
        <v>158</v>
      </c>
    </row>
    <row r="33" spans="1:6" x14ac:dyDescent="0.3">
      <c r="A33" s="4" t="s">
        <v>41</v>
      </c>
      <c r="B33" s="6">
        <v>38</v>
      </c>
      <c r="C33" s="6">
        <v>30</v>
      </c>
      <c r="D33" s="6">
        <v>45</v>
      </c>
      <c r="E33" s="6">
        <v>36</v>
      </c>
      <c r="F33" s="6">
        <v>149</v>
      </c>
    </row>
    <row r="34" spans="1:6" x14ac:dyDescent="0.3">
      <c r="A34" s="4" t="s">
        <v>31</v>
      </c>
      <c r="B34" s="6">
        <v>30</v>
      </c>
      <c r="C34" s="6">
        <v>39</v>
      </c>
      <c r="D34" s="6">
        <v>34</v>
      </c>
      <c r="E34" s="6">
        <v>42</v>
      </c>
      <c r="F34" s="6">
        <v>145</v>
      </c>
    </row>
    <row r="35" spans="1:6" x14ac:dyDescent="0.3">
      <c r="A35" s="4" t="s">
        <v>662</v>
      </c>
      <c r="B35" s="6">
        <v>143</v>
      </c>
      <c r="C35" s="6">
        <v>156</v>
      </c>
      <c r="D35" s="6">
        <v>150</v>
      </c>
      <c r="E35" s="6">
        <v>151</v>
      </c>
      <c r="F35" s="6">
        <v>600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29C2A-CB7E-428E-8EA7-8680BD9F818C}">
  <dimension ref="A1"/>
  <sheetViews>
    <sheetView showGridLines="0" tabSelected="1" zoomScale="51" workbookViewId="0">
      <selection activeCell="AE24" sqref="AE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Sheet6</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tanishjain06102005@gmail.com</dc:creator>
  <cp:lastModifiedBy>tanishjain06102005@gmail.com</cp:lastModifiedBy>
  <dcterms:created xsi:type="dcterms:W3CDTF">2026-03-02T11:25:11Z</dcterms:created>
  <dcterms:modified xsi:type="dcterms:W3CDTF">2026-03-12T17:46:55Z</dcterms:modified>
</cp:coreProperties>
</file>